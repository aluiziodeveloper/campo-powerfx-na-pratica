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Ocorrencias" sheetId="2" state="visible" r:id="rId2"/>
    <sheet name="Painel" sheetId="3" state="visible" r:id="rId3"/>
    <sheet name="Unidades" sheetId="4" state="visible" r:id="rId4"/>
    <sheet name="Equipe" sheetId="5" state="visible" r:id="rId5"/>
    <sheet name="Listas" sheetId="6" state="visible" r:id="rId6"/>
    <sheet name="Arquivo_2025" sheetId="7" state="visible" r:id="rId7"/>
  </sheets>
  <definedNames>
    <definedName name="Abertas">Painel!$B$3</definedName>
    <definedName name="EmAndamento">Painel!$B$4</definedName>
    <definedName name="Fechadas">Painel!$B$5</definedName>
    <definedName name="Criticas">Painel!$B$7</definedName>
    <definedName name="Atrasadas">Painel!$B$8</definedName>
    <definedName name="PercentualAtraso">Painel!$B$9</definedName>
    <definedName name="PorUnidade">Painel!$B$12:$B$51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 hh:mm"/>
    <numFmt numFmtId="166" formatCode="dd/mm/yyyy"/>
    <numFmt numFmtId="167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C00000"/>
    </font>
    <font>
      <i val="1"/>
      <color rgb="00808080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Supervisão</author>
  </authors>
  <commentList>
    <comment ref="L1" authorId="0" shapeId="0">
      <text>
        <t>Coluna DiasEmAberto. Alguém colou valores por cima da fórmula uma vez. NÃO MEXER.</t>
      </text>
    </comment>
  </commentList>
</comments>
</file>

<file path=xl/tables/table1.xml><?xml version="1.0" encoding="utf-8"?>
<table xmlns="http://schemas.openxmlformats.org/spreadsheetml/2006/main" id="1" name="Ocorrencias" displayName="Ocorrencias" ref="A1:L352" headerRowCount="1">
  <autoFilter ref="A1:L352"/>
  <tableColumns count="12">
    <tableColumn id="1" name="NumeroOS"/>
    <tableColumn id="2" name="Titulo"/>
    <tableColumn id="3" name="Descricao"/>
    <tableColumn id="4" name="Local"/>
    <tableColumn id="5" name="Prioridade"/>
    <tableColumn id="6" name="Responsavel"/>
    <tableColumn id="7" name="Status"/>
    <tableColumn id="8" name="DataAbertura"/>
    <tableColumn id="9" name="Prazo"/>
    <tableColumn id="10" name="Atrasada"/>
    <tableColumn id="11" name="Supervisor"/>
    <tableColumn id="12" name="NÃO MEX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zoomScale="10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CONTROLE DE OCORRÊNCIAS — LEIA ANTES DE MEXER</t>
        </is>
      </c>
    </row>
    <row r="3">
      <c r="A3" s="2" t="inlineStr">
        <is>
          <t>1. NÃO ORDENE A TABELA SEM SELECIONAR TUDO.</t>
        </is>
      </c>
    </row>
    <row r="4">
      <c r="A4" s="2" t="inlineStr">
        <is>
          <t>2. NÃO MEXA NA COLUNA L.</t>
        </is>
      </c>
    </row>
    <row r="5">
      <c r="A5" s="2" t="inlineStr">
        <is>
          <t>3. NO FIM DO MÊS, ARQUIVE AS OCORRÊNCIAS FECHADAS NA ABA DE ARQUIVO.</t>
        </is>
      </c>
    </row>
    <row r="8">
      <c r="A8" s="3" t="inlineStr">
        <is>
          <t>Arquivo de exemplo do livro Power Fx na Prática (Capítulo 0). Dados fictícios: pessoas e unidades inventadas.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2"/>
  <sheetViews>
    <sheetView zoomScale="100"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60" customWidth="1" min="3" max="3"/>
    <col width="30" customWidth="1" min="4" max="4"/>
    <col width="11" customWidth="1" min="5" max="5"/>
    <col width="24" customWidth="1" min="6" max="6"/>
    <col width="15" customWidth="1" min="7" max="7"/>
    <col width="17" customWidth="1" min="8" max="8"/>
    <col width="12" customWidth="1" min="9" max="9"/>
    <col width="10" customWidth="1" min="10" max="10"/>
    <col width="22" customWidth="1" min="11" max="11"/>
    <col width="12" customWidth="1" min="12" max="12"/>
  </cols>
  <sheetData>
    <row r="1">
      <c r="A1" t="inlineStr">
        <is>
          <t>NumeroOS</t>
        </is>
      </c>
      <c r="B1" t="inlineStr">
        <is>
          <t>Titulo</t>
        </is>
      </c>
      <c r="C1" t="inlineStr">
        <is>
          <t>Descricao</t>
        </is>
      </c>
      <c r="D1" t="inlineStr">
        <is>
          <t>Local</t>
        </is>
      </c>
      <c r="E1" t="inlineStr">
        <is>
          <t>Prioridade</t>
        </is>
      </c>
      <c r="F1" t="inlineStr">
        <is>
          <t>Responsavel</t>
        </is>
      </c>
      <c r="G1" t="inlineStr">
        <is>
          <t>Status</t>
        </is>
      </c>
      <c r="H1" t="inlineStr">
        <is>
          <t>DataAbertura</t>
        </is>
      </c>
      <c r="I1" t="inlineStr">
        <is>
          <t>Prazo</t>
        </is>
      </c>
      <c r="J1" t="inlineStr">
        <is>
          <t>Atrasada</t>
        </is>
      </c>
      <c r="K1" t="inlineStr">
        <is>
          <t>Supervisor</t>
        </is>
      </c>
      <c r="L1" s="4" t="inlineStr">
        <is>
          <t>NÃO MEXER</t>
        </is>
      </c>
    </row>
    <row r="2">
      <c r="A2" t="inlineStr">
        <is>
          <t>OS-0140</t>
        </is>
      </c>
      <c r="B2" t="inlineStr">
        <is>
          <t>Pintura descascada na estrutura E-23</t>
        </is>
      </c>
      <c r="C2" t="inlineStr">
        <is>
          <t>Estrutura metálica E-23 com pontos de corrosão sob a pintura.</t>
        </is>
      </c>
      <c r="D2" t="inlineStr">
        <is>
          <t>Almoxarifado Central</t>
        </is>
      </c>
      <c r="E2" t="inlineStr">
        <is>
          <t>Média</t>
        </is>
      </c>
      <c r="F2" t="inlineStr">
        <is>
          <t>Daniela Pires</t>
        </is>
      </c>
      <c r="G2" t="inlineStr">
        <is>
          <t>Em Andamento</t>
        </is>
      </c>
      <c r="H2" s="5" t="n">
        <v>44991.69444444445</v>
      </c>
      <c r="I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">
        <f>IF(AND(Ocorrencias[[#This Row],[Status]]&lt;&gt;"Fechada",TODAY()&gt;Ocorrencias[[#This Row],[Prazo]]),"SIM","")</f>
        <v/>
      </c>
      <c r="K2">
        <f>IFERROR(VLOOKUP(Ocorrencias[[#This Row],[Local]],Unidades!A:B,2,FALSE),"")</f>
        <v/>
      </c>
      <c r="L2" s="7">
        <f>IF(Ocorrencias[[#This Row],[Status]]="Fechada","",TODAY()-Ocorrencias[[#This Row],[DataAbertura]])</f>
        <v/>
      </c>
    </row>
    <row r="3">
      <c r="A3" t="inlineStr">
        <is>
          <t>OS-0177</t>
        </is>
      </c>
      <c r="B3" t="inlineStr">
        <is>
          <t>Pintura descascada na estrutura G-17</t>
        </is>
      </c>
      <c r="C3" t="inlineStr">
        <is>
          <t>Estrutura metálica G-17 com pontos de corrosão sob a pintura.</t>
        </is>
      </c>
      <c r="D3" t="inlineStr">
        <is>
          <t>Subestação Oeste</t>
        </is>
      </c>
      <c r="E3" t="inlineStr">
        <is>
          <t>Baixa</t>
        </is>
      </c>
      <c r="F3" t="inlineStr">
        <is>
          <t>Flávio Gusmão</t>
        </is>
      </c>
      <c r="G3" t="inlineStr">
        <is>
          <t>aberta</t>
        </is>
      </c>
      <c r="H3" s="5" t="n">
        <v>45012.36111111111</v>
      </c>
      <c r="I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">
        <f>IF(AND(Ocorrencias[[#This Row],[Status]]&lt;&gt;"Fechada",TODAY()&gt;Ocorrencias[[#This Row],[Prazo]]),"SIM","")</f>
        <v/>
      </c>
      <c r="K3">
        <f>IFERROR(VLOOKUP(Ocorrencias[[#This Row],[Local]],Unidades!A:B,2,FALSE),"")</f>
        <v/>
      </c>
      <c r="L3" s="7">
        <f>IF(Ocorrencias[[#This Row],[Status]]="Fechada","",TODAY()-Ocorrencias[[#This Row],[DataAbertura]])</f>
        <v/>
      </c>
    </row>
    <row r="4">
      <c r="A4" t="inlineStr">
        <is>
          <t>OS-0214</t>
        </is>
      </c>
      <c r="B4" t="inlineStr">
        <is>
          <t>Falha de comunicação no CLP P-34</t>
        </is>
      </c>
      <c r="C4" t="inlineStr">
        <is>
          <t>CLP P-34 perde comunicação com o supervisório em intervalos irregulares.</t>
        </is>
      </c>
      <c r="D4" t="inlineStr">
        <is>
          <t>Booster Morada do Sol</t>
        </is>
      </c>
      <c r="E4" t="inlineStr">
        <is>
          <t>Baixa</t>
        </is>
      </c>
      <c r="F4" t="inlineStr">
        <is>
          <t>Simone Carvalho</t>
        </is>
      </c>
      <c r="G4" t="inlineStr">
        <is>
          <t>Aberto</t>
        </is>
      </c>
      <c r="H4" s="5" t="n">
        <v>45033.46527777778</v>
      </c>
      <c r="I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4">
        <f>IF(AND(Ocorrencias[[#This Row],[Status]]&lt;&gt;"Fechada",TODAY()&gt;Ocorrencias[[#This Row],[Prazo]]),"SIM","")</f>
        <v/>
      </c>
      <c r="K4">
        <f>IFERROR(VLOOKUP(Ocorrencias[[#This Row],[Local]],Unidades!A:B,2,FALSE),"")</f>
        <v/>
      </c>
      <c r="L4" s="7">
        <f>IF(Ocorrencias[[#This Row],[Status]]="Fechada","",TODAY()-Ocorrencias[[#This Row],[DataAbertura]])</f>
        <v/>
      </c>
    </row>
    <row r="5">
      <c r="A5" t="inlineStr">
        <is>
          <t>OS-0251</t>
        </is>
      </c>
      <c r="B5" t="inlineStr">
        <is>
          <t>Medidor de vazão A-06 com leitura instável</t>
        </is>
      </c>
      <c r="C5" t="inlineStr">
        <is>
          <t>Medidor de vazão A-06 oscila sem variação de processo.</t>
        </is>
      </c>
      <c r="D5" t="inlineStr">
        <is>
          <t>Subestação Leste</t>
        </is>
      </c>
      <c r="E5" t="inlineStr">
        <is>
          <t>Média</t>
        </is>
      </c>
      <c r="F5" t="inlineStr">
        <is>
          <t>Érica Andrade</t>
        </is>
      </c>
      <c r="G5" t="inlineStr">
        <is>
          <t>Em Andamento</t>
        </is>
      </c>
      <c r="H5" s="5" t="n">
        <v>45054.36805555555</v>
      </c>
      <c r="I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5">
        <f>IF(AND(Ocorrencias[[#This Row],[Status]]&lt;&gt;"Fechada",TODAY()&gt;Ocorrencias[[#This Row],[Prazo]]),"SIM","")</f>
        <v/>
      </c>
      <c r="K5">
        <f>IFERROR(VLOOKUP(Ocorrencias[[#This Row],[Local]],Unidades!A:B,2,FALSE),"")</f>
        <v/>
      </c>
      <c r="L5" s="7">
        <f>IF(Ocorrencias[[#This Row],[Status]]="Fechada","",TODAY()-Ocorrencias[[#This Row],[DataAbertura]])</f>
        <v/>
      </c>
    </row>
    <row r="6">
      <c r="A6" t="inlineStr">
        <is>
          <t>OS-0288</t>
        </is>
      </c>
      <c r="B6" t="inlineStr">
        <is>
          <t>Exaustor C-25 parado</t>
        </is>
      </c>
      <c r="C6" t="inlineStr">
        <is>
          <t>Exaustor C-25 não parte. Fusível íntegro.</t>
        </is>
      </c>
      <c r="D6" t="inlineStr">
        <is>
          <t>Base Operacional Norte</t>
        </is>
      </c>
      <c r="E6" t="inlineStr">
        <is>
          <t>Baixa</t>
        </is>
      </c>
      <c r="F6" t="inlineStr">
        <is>
          <t>Flávio Gusmão</t>
        </is>
      </c>
      <c r="G6" t="inlineStr">
        <is>
          <t>Aberto</t>
        </is>
      </c>
      <c r="H6" s="5" t="n">
        <v>45075.70138888889</v>
      </c>
      <c r="I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6">
        <f>IF(AND(Ocorrencias[[#This Row],[Status]]&lt;&gt;"Fechada",TODAY()&gt;Ocorrencias[[#This Row],[Prazo]]),"SIM","")</f>
        <v/>
      </c>
      <c r="K6">
        <f>IFERROR(VLOOKUP(Ocorrencias[[#This Row],[Local]],Unidades!A:B,2,FALSE),"")</f>
        <v/>
      </c>
      <c r="L6" s="7">
        <f>IF(Ocorrencias[[#This Row],[Status]]="Fechada","",TODAY()-Ocorrencias[[#This Row],[DataAbertura]])</f>
        <v/>
      </c>
    </row>
    <row r="7">
      <c r="A7" t="inlineStr">
        <is>
          <t>OS-0325</t>
        </is>
      </c>
      <c r="B7" t="inlineStr">
        <is>
          <t>Ar-condicionado da sala M-35 sem refrigerar</t>
        </is>
      </c>
      <c r="C7" t="inlineStr">
        <is>
          <t>Ar-condicionado da sala de painéis M-35 ligado sem refrigerar.</t>
        </is>
      </c>
      <c r="D7" t="inlineStr">
        <is>
          <t>Estação de Bombeamento Vila Nova</t>
        </is>
      </c>
      <c r="E7" t="inlineStr">
        <is>
          <t>Crítica</t>
        </is>
      </c>
      <c r="F7" t="inlineStr">
        <is>
          <t>Igor Fonseca</t>
        </is>
      </c>
      <c r="G7" t="inlineStr">
        <is>
          <t>Aberto</t>
        </is>
      </c>
      <c r="H7" s="5" t="n">
        <v>45096.40972222222</v>
      </c>
      <c r="I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7">
        <f>IF(AND(Ocorrencias[[#This Row],[Status]]&lt;&gt;"Fechada",TODAY()&gt;Ocorrencias[[#This Row],[Prazo]]),"SIM","")</f>
        <v/>
      </c>
      <c r="K7">
        <f>IFERROR(VLOOKUP(Ocorrencias[[#This Row],[Local]],Unidades!A:B,2,FALSE),"")</f>
        <v/>
      </c>
      <c r="L7" s="7">
        <f>IF(Ocorrencias[[#This Row],[Status]]="Fechada","",TODAY()-Ocorrencias[[#This Row],[DataAbertura]])</f>
        <v/>
      </c>
    </row>
    <row r="8">
      <c r="A8" t="inlineStr">
        <is>
          <t>OS-0362</t>
        </is>
      </c>
      <c r="B8" t="inlineStr">
        <is>
          <t>Vazamento na bomba C-26</t>
        </is>
      </c>
      <c r="C8" t="inlineStr">
        <is>
          <t>Vazamento pelo selo mecânico da bomba C-26. Piso molhado ao redor da base.</t>
        </is>
      </c>
      <c r="D8" t="inlineStr">
        <is>
          <t>Adutora Tronco Norte</t>
        </is>
      </c>
      <c r="E8" t="inlineStr">
        <is>
          <t>Alta</t>
        </is>
      </c>
      <c r="F8" t="inlineStr">
        <is>
          <t>Rafael Torres</t>
        </is>
      </c>
      <c r="G8" t="inlineStr">
        <is>
          <t>Aberto</t>
        </is>
      </c>
      <c r="H8" s="5" t="n">
        <v>45117.72916666666</v>
      </c>
      <c r="I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8">
        <f>IF(AND(Ocorrencias[[#This Row],[Status]]&lt;&gt;"Fechada",TODAY()&gt;Ocorrencias[[#This Row],[Prazo]]),"SIM","")</f>
        <v/>
      </c>
      <c r="K8">
        <f>IFERROR(VLOOKUP(Ocorrencias[[#This Row],[Local]],Unidades!A:B,2,FALSE),"")</f>
        <v/>
      </c>
      <c r="L8" s="7">
        <f>IF(Ocorrencias[[#This Row],[Status]]="Fechada","",TODAY()-Ocorrencias[[#This Row],[DataAbertura]])</f>
        <v/>
      </c>
    </row>
    <row r="9">
      <c r="A9" t="inlineStr">
        <is>
          <t>OS-0399</t>
        </is>
      </c>
      <c r="B9" t="inlineStr">
        <is>
          <t>Vazamento na bomba A-05</t>
        </is>
      </c>
      <c r="C9" t="inlineStr">
        <is>
          <t>Vazamento pelo selo mecânico da bomba A-05. Piso molhado ao redor da base.</t>
        </is>
      </c>
      <c r="D9" t="inlineStr">
        <is>
          <t>Captação Lagoa Seca</t>
        </is>
      </c>
      <c r="E9" t="inlineStr">
        <is>
          <t>Baixa</t>
        </is>
      </c>
      <c r="F9" t="inlineStr">
        <is>
          <t>Wesley Cardoso</t>
        </is>
      </c>
      <c r="G9" t="inlineStr">
        <is>
          <t>aberta</t>
        </is>
      </c>
      <c r="H9" s="5" t="n">
        <v>45138.63194444445</v>
      </c>
      <c r="I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9">
        <f>IF(AND(Ocorrencias[[#This Row],[Status]]&lt;&gt;"Fechada",TODAY()&gt;Ocorrencias[[#This Row],[Prazo]]),"SIM","")</f>
        <v/>
      </c>
      <c r="K9">
        <f>IFERROR(VLOOKUP(Ocorrencias[[#This Row],[Local]],Unidades!A:B,2,FALSE),"")</f>
        <v/>
      </c>
      <c r="L9" s="7">
        <f>IF(Ocorrencias[[#This Row],[Status]]="Fechada","",TODAY()-Ocorrencias[[#This Row],[DataAbertura]])</f>
        <v/>
      </c>
    </row>
    <row r="10">
      <c r="A10" t="inlineStr">
        <is>
          <t>OS-0436</t>
        </is>
      </c>
      <c r="B10" t="inlineStr">
        <is>
          <t>Lâmpada queimada na área F-31</t>
        </is>
      </c>
      <c r="C10" t="inlineStr">
        <is>
          <t>Iluminação da área F-31 sem funcionar. Reposição de lâmpada e conferência do reator.</t>
        </is>
      </c>
      <c r="D10" t="inlineStr">
        <is>
          <t>Usina Fotovoltaica Planalto</t>
        </is>
      </c>
      <c r="E10" t="inlineStr">
        <is>
          <t>Alta</t>
        </is>
      </c>
      <c r="F10" t="inlineStr">
        <is>
          <t>Flávio Gusmão</t>
        </is>
      </c>
      <c r="G10" t="inlineStr">
        <is>
          <t>aberta</t>
        </is>
      </c>
      <c r="H10" s="5" t="n">
        <v>45159.63194444445</v>
      </c>
      <c r="I1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0">
        <f>IF(AND(Ocorrencias[[#This Row],[Status]]&lt;&gt;"Fechada",TODAY()&gt;Ocorrencias[[#This Row],[Prazo]]),"SIM","")</f>
        <v/>
      </c>
      <c r="K10">
        <f>IFERROR(VLOOKUP(Ocorrencias[[#This Row],[Local]],Unidades!A:B,2,FALSE),"")</f>
        <v/>
      </c>
      <c r="L10" s="7">
        <f>IF(Ocorrencias[[#This Row],[Status]]="Fechada","",TODAY()-Ocorrencias[[#This Row],[DataAbertura]])</f>
        <v/>
      </c>
    </row>
    <row r="11">
      <c r="A11" t="inlineStr">
        <is>
          <t>OS-0473</t>
        </is>
      </c>
      <c r="B11" t="inlineStr">
        <is>
          <t>Infiltração na parede da casa de bombas H-16</t>
        </is>
      </c>
      <c r="C11" t="inlineStr">
        <is>
          <t>Mancha de umidade crescente na parede da casa de bombas H-16.</t>
        </is>
      </c>
      <c r="D11" t="inlineStr">
        <is>
          <t>Base Operacional Litoral</t>
        </is>
      </c>
      <c r="E11" t="inlineStr">
        <is>
          <t>Média</t>
        </is>
      </c>
      <c r="F11" t="inlineStr">
        <is>
          <t>Cíntia Freitas</t>
        </is>
      </c>
      <c r="G11" t="inlineStr">
        <is>
          <t>Em Andamento</t>
        </is>
      </c>
      <c r="H11" s="5" t="n">
        <v>45180.40972222222</v>
      </c>
      <c r="I1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1">
        <f>IF(AND(Ocorrencias[[#This Row],[Status]]&lt;&gt;"Fechada",TODAY()&gt;Ocorrencias[[#This Row],[Prazo]]),"SIM","")</f>
        <v/>
      </c>
      <c r="K11">
        <f>IFERROR(VLOOKUP(Ocorrencias[[#This Row],[Local]],Unidades!A:B,2,FALSE),"")</f>
        <v/>
      </c>
      <c r="L11" s="7">
        <f>IF(Ocorrencias[[#This Row],[Status]]="Fechada","",TODAY()-Ocorrencias[[#This Row],[DataAbertura]])</f>
        <v/>
      </c>
    </row>
    <row r="12">
      <c r="A12" t="inlineStr">
        <is>
          <t>OS-0510</t>
        </is>
      </c>
      <c r="B12" t="inlineStr">
        <is>
          <t>Ruído anormal no motor M-16</t>
        </is>
      </c>
      <c r="C12" t="inlineStr">
        <is>
          <t>Ruído intermitente no motor M-16 durante a partida. Temperatura normal ao toque.</t>
        </is>
      </c>
      <c r="D12" t="inlineStr">
        <is>
          <t>Reservatório Santa Luzia</t>
        </is>
      </c>
      <c r="E12" t="inlineStr">
        <is>
          <t>Média</t>
        </is>
      </c>
      <c r="F12" t="inlineStr">
        <is>
          <t>Heloísa Barreto</t>
        </is>
      </c>
      <c r="G12" t="inlineStr">
        <is>
          <t>Aberto</t>
        </is>
      </c>
      <c r="H12" s="5" t="n">
        <v>45201.65972222222</v>
      </c>
      <c r="I1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2">
        <f>IF(AND(Ocorrencias[[#This Row],[Status]]&lt;&gt;"Fechada",TODAY()&gt;Ocorrencias[[#This Row],[Prazo]]),"SIM","")</f>
        <v/>
      </c>
      <c r="K12">
        <f>IFERROR(VLOOKUP(Ocorrencias[[#This Row],[Local]],Unidades!A:B,2,FALSE),"")</f>
        <v/>
      </c>
      <c r="L12" s="7">
        <f>IF(Ocorrencias[[#This Row],[Status]]="Fechada","",TODAY()-Ocorrencias[[#This Row],[DataAbertura]])</f>
        <v/>
      </c>
    </row>
    <row r="13">
      <c r="A13" t="inlineStr">
        <is>
          <t>OS-0547</t>
        </is>
      </c>
      <c r="B13" t="inlineStr">
        <is>
          <t>Exaustor M-38 parado</t>
        </is>
      </c>
      <c r="C13" t="inlineStr">
        <is>
          <t>Exaustor M-38 não parte. Fusível íntegro.</t>
        </is>
      </c>
      <c r="D13" t="inlineStr">
        <is>
          <t>Adutora Tronco Norte</t>
        </is>
      </c>
      <c r="E13" t="inlineStr">
        <is>
          <t>Média</t>
        </is>
      </c>
      <c r="F13" t="inlineStr">
        <is>
          <t>Hugo Albuquerque</t>
        </is>
      </c>
      <c r="G13" t="inlineStr">
        <is>
          <t>Aberto</t>
        </is>
      </c>
      <c r="H13" s="5" t="n">
        <v>45222.65972222222</v>
      </c>
      <c r="I1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3">
        <f>IF(AND(Ocorrencias[[#This Row],[Status]]&lt;&gt;"Fechada",TODAY()&gt;Ocorrencias[[#This Row],[Prazo]]),"SIM","")</f>
        <v/>
      </c>
      <c r="K13">
        <f>IFERROR(VLOOKUP(Ocorrencias[[#This Row],[Local]],Unidades!A:B,2,FALSE),"")</f>
        <v/>
      </c>
      <c r="L13" s="7">
        <f>IF(Ocorrencias[[#This Row],[Status]]="Fechada","",TODAY()-Ocorrencias[[#This Row],[DataAbertura]])</f>
        <v/>
      </c>
    </row>
    <row r="14">
      <c r="A14" t="inlineStr">
        <is>
          <t>OS-0584</t>
        </is>
      </c>
      <c r="B14" t="inlineStr">
        <is>
          <t>Válvula H-03 não fecha por completo</t>
        </is>
      </c>
      <c r="C14" t="inlineStr">
        <is>
          <t>Válvula H-03 com passagem residual mesmo totalmente fechada. Possível desgaste da sede.</t>
        </is>
      </c>
      <c r="D14" t="inlineStr">
        <is>
          <t>Base Operacional Norte</t>
        </is>
      </c>
      <c r="E14" t="inlineStr">
        <is>
          <t>Média</t>
        </is>
      </c>
      <c r="F14" t="inlineStr">
        <is>
          <t>Thiago Bastos</t>
        </is>
      </c>
      <c r="G14" t="inlineStr">
        <is>
          <t>Em Andamento</t>
        </is>
      </c>
      <c r="H14" s="5" t="n">
        <v>45243.68055555555</v>
      </c>
      <c r="I1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4">
        <f>IF(AND(Ocorrencias[[#This Row],[Status]]&lt;&gt;"Fechada",TODAY()&gt;Ocorrencias[[#This Row],[Prazo]]),"SIM","")</f>
        <v/>
      </c>
      <c r="K14">
        <f>IFERROR(VLOOKUP(Ocorrencias[[#This Row],[Local]],Unidades!A:B,2,FALSE),"")</f>
        <v/>
      </c>
      <c r="L14" s="7">
        <f>IF(Ocorrencias[[#This Row],[Status]]="Fechada","",TODAY()-Ocorrencias[[#This Row],[DataAbertura]])</f>
        <v/>
      </c>
    </row>
    <row r="15">
      <c r="A15" t="inlineStr">
        <is>
          <t>OS-0621</t>
        </is>
      </c>
      <c r="B15" t="inlineStr">
        <is>
          <t>Infiltração na parede da casa de bombas P-21</t>
        </is>
      </c>
      <c r="C15" t="inlineStr">
        <is>
          <t>Mancha de umidade crescente na parede da casa de bombas P-21.</t>
        </is>
      </c>
      <c r="D15" t="inlineStr">
        <is>
          <t>Reservatório Alto da Colina</t>
        </is>
      </c>
      <c r="E15" t="inlineStr">
        <is>
          <t>Alta</t>
        </is>
      </c>
      <c r="F15" t="inlineStr">
        <is>
          <t>Beatriz Farias</t>
        </is>
      </c>
      <c r="G15" t="inlineStr">
        <is>
          <t>Aberto</t>
        </is>
      </c>
      <c r="H15" s="5" t="n">
        <v>45264.6875</v>
      </c>
      <c r="I1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5">
        <f>IF(AND(Ocorrencias[[#This Row],[Status]]&lt;&gt;"Fechada",TODAY()&gt;Ocorrencias[[#This Row],[Prazo]]),"SIM","")</f>
        <v/>
      </c>
      <c r="K15">
        <f>IFERROR(VLOOKUP(Ocorrencias[[#This Row],[Local]],Unidades!A:B,2,FALSE),"")</f>
        <v/>
      </c>
      <c r="L15" s="7">
        <f>IF(Ocorrencias[[#This Row],[Status]]="Fechada","",TODAY()-Ocorrencias[[#This Row],[DataAbertura]])</f>
        <v/>
      </c>
    </row>
    <row r="16">
      <c r="A16" t="inlineStr">
        <is>
          <t>OS-0658</t>
        </is>
      </c>
      <c r="B16" t="inlineStr">
        <is>
          <t>Falha de comunicação no CLP R-34</t>
        </is>
      </c>
      <c r="C16" t="inlineStr">
        <is>
          <t>CLP R-34 perde comunicação com o supervisório em intervalos irregulares.</t>
        </is>
      </c>
      <c r="D16" t="inlineStr">
        <is>
          <t>Adutora Tronco Norte</t>
        </is>
      </c>
      <c r="E16" t="inlineStr">
        <is>
          <t>Alta</t>
        </is>
      </c>
      <c r="F16" t="inlineStr">
        <is>
          <t>Zeca Moraes</t>
        </is>
      </c>
      <c r="G16" t="inlineStr">
        <is>
          <t>Aberto</t>
        </is>
      </c>
      <c r="H16" s="5" t="n">
        <v>45285.52777777778</v>
      </c>
      <c r="I1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6">
        <f>IF(AND(Ocorrencias[[#This Row],[Status]]&lt;&gt;"Fechada",TODAY()&gt;Ocorrencias[[#This Row],[Prazo]]),"SIM","")</f>
        <v/>
      </c>
      <c r="K16">
        <f>IFERROR(VLOOKUP(Ocorrencias[[#This Row],[Local]],Unidades!A:B,2,FALSE),"")</f>
        <v/>
      </c>
      <c r="L16" s="7">
        <f>IF(Ocorrencias[[#This Row],[Status]]="Fechada","",TODAY()-Ocorrencias[[#This Row],[DataAbertura]])</f>
        <v/>
      </c>
    </row>
    <row r="17">
      <c r="A17" t="inlineStr">
        <is>
          <t>OS-0695</t>
        </is>
      </c>
      <c r="B17" t="inlineStr">
        <is>
          <t>Válvula R-05 não fecha por completo</t>
        </is>
      </c>
      <c r="C17" t="inlineStr">
        <is>
          <t>Válvula R-05 com passagem residual mesmo totalmente fechada. Possível desgaste da sede.</t>
        </is>
      </c>
      <c r="D17" t="inlineStr">
        <is>
          <t>Reservatório Santa Luzia</t>
        </is>
      </c>
      <c r="E17" t="inlineStr">
        <is>
          <t>Média</t>
        </is>
      </c>
      <c r="F17" t="inlineStr">
        <is>
          <t>Heloísa Barreto</t>
        </is>
      </c>
      <c r="G17" t="inlineStr">
        <is>
          <t>aberta</t>
        </is>
      </c>
      <c r="H17" s="5" t="n">
        <v>45306.70138888889</v>
      </c>
      <c r="I1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7">
        <f>IF(AND(Ocorrencias[[#This Row],[Status]]&lt;&gt;"Fechada",TODAY()&gt;Ocorrencias[[#This Row],[Prazo]]),"SIM","")</f>
        <v/>
      </c>
      <c r="K17">
        <f>IFERROR(VLOOKUP(Ocorrencias[[#This Row],[Local]],Unidades!A:B,2,FALSE),"")</f>
        <v/>
      </c>
      <c r="L17" s="7">
        <f>IF(Ocorrencias[[#This Row],[Status]]="Fechada","",TODAY()-Ocorrencias[[#This Row],[DataAbertura]])</f>
        <v/>
      </c>
    </row>
    <row r="18">
      <c r="A18" t="inlineStr">
        <is>
          <t>OS-0732</t>
        </is>
      </c>
      <c r="B18" t="inlineStr">
        <is>
          <t>Disjuntor desarmando no painel H-26</t>
        </is>
      </c>
      <c r="C18" t="inlineStr">
        <is>
          <t>Disjuntor do painel H-26 desarmou três vezes no turno. Carga dentro do nominal.</t>
        </is>
      </c>
      <c r="D18" t="inlineStr">
        <is>
          <t>ETE Rio Claro</t>
        </is>
      </c>
      <c r="E18" t="inlineStr">
        <is>
          <t>Baixa</t>
        </is>
      </c>
      <c r="F18" t="inlineStr">
        <is>
          <t>Daniela Pires</t>
        </is>
      </c>
      <c r="G18" t="inlineStr">
        <is>
          <t>aberta</t>
        </is>
      </c>
      <c r="H18" s="5" t="n">
        <v>45327.64583333334</v>
      </c>
      <c r="I1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8">
        <f>IF(AND(Ocorrencias[[#This Row],[Status]]&lt;&gt;"Fechada",TODAY()&gt;Ocorrencias[[#This Row],[Prazo]]),"SIM","")</f>
        <v/>
      </c>
      <c r="K18">
        <f>IFERROR(VLOOKUP(Ocorrencias[[#This Row],[Local]],Unidades!A:B,2,FALSE),"")</f>
        <v/>
      </c>
      <c r="L18" s="7">
        <f>IF(Ocorrencias[[#This Row],[Status]]="Fechada","",TODAY()-Ocorrencias[[#This Row],[DataAbertura]])</f>
        <v/>
      </c>
    </row>
    <row r="19">
      <c r="A19" t="inlineStr">
        <is>
          <t>OS-0769</t>
        </is>
      </c>
      <c r="B19" t="inlineStr">
        <is>
          <t>Portão da área D-34 emperrado</t>
        </is>
      </c>
      <c r="C19" t="inlineStr">
        <is>
          <t>Portão de acesso da área D-34 exige força excessiva para abrir.</t>
        </is>
      </c>
      <c r="D19" t="inlineStr">
        <is>
          <t>Estação Elevatória Oeste</t>
        </is>
      </c>
      <c r="E19" t="inlineStr">
        <is>
          <t>Alta</t>
        </is>
      </c>
      <c r="F19" t="inlineStr">
        <is>
          <t>Rafael Torres</t>
        </is>
      </c>
      <c r="G19" t="inlineStr">
        <is>
          <t>Em Andamento</t>
        </is>
      </c>
      <c r="H19" s="5" t="n">
        <v>45348.59027777778</v>
      </c>
      <c r="I1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9">
        <f>IF(AND(Ocorrencias[[#This Row],[Status]]&lt;&gt;"Fechada",TODAY()&gt;Ocorrencias[[#This Row],[Prazo]]),"SIM","")</f>
        <v/>
      </c>
      <c r="K19">
        <f>IFERROR(VLOOKUP(Ocorrencias[[#This Row],[Local]],Unidades!A:B,2,FALSE),"")</f>
        <v/>
      </c>
      <c r="L19" s="7">
        <f>IF(Ocorrencias[[#This Row],[Status]]="Fechada","",TODAY()-Ocorrencias[[#This Row],[DataAbertura]])</f>
        <v/>
      </c>
    </row>
    <row r="20">
      <c r="A20" t="inlineStr">
        <is>
          <t>OS-0806</t>
        </is>
      </c>
      <c r="B20" t="inlineStr">
        <is>
          <t>Sensor de nível sem leitura no tanque A-14</t>
        </is>
      </c>
      <c r="C20" t="inlineStr">
        <is>
          <t>Supervisório mostra leitura congelada do sensor de nível do tanque A-14.</t>
        </is>
      </c>
      <c r="D20" t="inlineStr">
        <is>
          <t>Almoxarifado Central</t>
        </is>
      </c>
      <c r="E20" t="inlineStr">
        <is>
          <t>Baixa</t>
        </is>
      </c>
      <c r="F20" t="inlineStr">
        <is>
          <t>Murilo Paiva</t>
        </is>
      </c>
      <c r="G20" t="inlineStr">
        <is>
          <t>aberta</t>
        </is>
      </c>
      <c r="H20" s="5" t="n">
        <v>45369.51388888889</v>
      </c>
      <c r="I2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0">
        <f>IF(AND(Ocorrencias[[#This Row],[Status]]&lt;&gt;"Fechada",TODAY()&gt;Ocorrencias[[#This Row],[Prazo]]),"SIM","")</f>
        <v/>
      </c>
      <c r="K20">
        <f>IFERROR(VLOOKUP(Ocorrencias[[#This Row],[Local]],Unidades!A:B,2,FALSE),"")</f>
        <v/>
      </c>
      <c r="L20" s="7">
        <f>IF(Ocorrencias[[#This Row],[Status]]="Fechada","",TODAY()-Ocorrencias[[#This Row],[DataAbertura]])</f>
        <v/>
      </c>
    </row>
    <row r="21">
      <c r="A21" t="inlineStr">
        <is>
          <t>OS-0843</t>
        </is>
      </c>
      <c r="B21" t="inlineStr">
        <is>
          <t>Disjuntor desarmando no painel M-36</t>
        </is>
      </c>
      <c r="C21" t="inlineStr">
        <is>
          <t>Disjuntor do painel M-36 desarmou três vezes no turno. Carga dentro do nominal.</t>
        </is>
      </c>
      <c r="D21" t="inlineStr">
        <is>
          <t>Estação Elevatória Leste</t>
        </is>
      </c>
      <c r="E21" t="inlineStr">
        <is>
          <t>Média</t>
        </is>
      </c>
      <c r="F21" t="inlineStr">
        <is>
          <t>Flávio Gusmão</t>
        </is>
      </c>
      <c r="G21" t="inlineStr">
        <is>
          <t>Aberto</t>
        </is>
      </c>
      <c r="H21" s="5" t="n">
        <v>45390.33333333334</v>
      </c>
      <c r="I2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1">
        <f>IF(AND(Ocorrencias[[#This Row],[Status]]&lt;&gt;"Fechada",TODAY()&gt;Ocorrencias[[#This Row],[Prazo]]),"SIM","")</f>
        <v/>
      </c>
      <c r="K21">
        <f>IFERROR(VLOOKUP(Ocorrencias[[#This Row],[Local]],Unidades!A:B,2,FALSE),"")</f>
        <v/>
      </c>
      <c r="L21" s="7">
        <f>IF(Ocorrencias[[#This Row],[Status]]="Fechada","",TODAY()-Ocorrencias[[#This Row],[DataAbertura]])</f>
        <v/>
      </c>
    </row>
    <row r="22">
      <c r="A22" t="inlineStr">
        <is>
          <t>OS-0880</t>
        </is>
      </c>
      <c r="B22" t="inlineStr">
        <is>
          <t>Tomada sem energia na sala T-03</t>
        </is>
      </c>
      <c r="C22" t="inlineStr">
        <is>
          <t>Tomada de serviço da sala T-03 sem tensão.</t>
        </is>
      </c>
      <c r="D22" t="inlineStr">
        <is>
          <t>Estação de Bombeamento Vila Nova</t>
        </is>
      </c>
      <c r="E22" t="inlineStr">
        <is>
          <t>Baixa</t>
        </is>
      </c>
      <c r="F22" t="inlineStr">
        <is>
          <t>Marcos Vinícius Rocha</t>
        </is>
      </c>
      <c r="G22" t="inlineStr">
        <is>
          <t>aberta</t>
        </is>
      </c>
      <c r="H22" s="5" t="n">
        <v>45411.45138888889</v>
      </c>
      <c r="I2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2">
        <f>IF(AND(Ocorrencias[[#This Row],[Status]]&lt;&gt;"Fechada",TODAY()&gt;Ocorrencias[[#This Row],[Prazo]]),"SIM","")</f>
        <v/>
      </c>
      <c r="K22">
        <f>IFERROR(VLOOKUP(Ocorrencias[[#This Row],[Local]],Unidades!A:B,2,FALSE),"")</f>
        <v/>
      </c>
      <c r="L22" s="7">
        <f>IF(Ocorrencias[[#This Row],[Status]]="Fechada","",TODAY()-Ocorrencias[[#This Row],[DataAbertura]])</f>
        <v/>
      </c>
    </row>
    <row r="23">
      <c r="A23" t="inlineStr">
        <is>
          <t>OS-0917</t>
        </is>
      </c>
      <c r="B23" t="inlineStr">
        <is>
          <t>Calha entupida no prédio A-19</t>
        </is>
      </c>
      <c r="C23" t="inlineStr">
        <is>
          <t>Calha do prédio A-19 transbordando em dia de chuva.</t>
        </is>
      </c>
      <c r="D23" t="inlineStr">
        <is>
          <t>Laboratório de Controle</t>
        </is>
      </c>
      <c r="E23" t="inlineStr">
        <is>
          <t>Alta</t>
        </is>
      </c>
      <c r="F23" t="inlineStr">
        <is>
          <t>Simone Carvalho</t>
        </is>
      </c>
      <c r="G23" t="inlineStr">
        <is>
          <t>Em Andamento</t>
        </is>
      </c>
      <c r="H23" s="5" t="n">
        <v>45432.72916666666</v>
      </c>
      <c r="I2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3">
        <f>IF(AND(Ocorrencias[[#This Row],[Status]]&lt;&gt;"Fechada",TODAY()&gt;Ocorrencias[[#This Row],[Prazo]]),"SIM","")</f>
        <v/>
      </c>
      <c r="K23">
        <f>IFERROR(VLOOKUP(Ocorrencias[[#This Row],[Local]],Unidades!A:B,2,FALSE),"")</f>
        <v/>
      </c>
      <c r="L23" s="7">
        <f>IF(Ocorrencias[[#This Row],[Status]]="Fechada","",TODAY()-Ocorrencias[[#This Row],[DataAbertura]])</f>
        <v/>
      </c>
    </row>
    <row r="24">
      <c r="A24" t="inlineStr">
        <is>
          <t>OS-1520</t>
        </is>
      </c>
      <c r="B24" t="inlineStr">
        <is>
          <t>Válvula A-19 não fecha por completo</t>
        </is>
      </c>
      <c r="C24" t="inlineStr">
        <is>
          <t>Válvula A-19 com passagem residual mesmo totalmente fechada. Possível desgaste da sede.</t>
        </is>
      </c>
      <c r="D24" t="inlineStr">
        <is>
          <t>Subestação Sul</t>
        </is>
      </c>
      <c r="E24" t="inlineStr">
        <is>
          <t>Média</t>
        </is>
      </c>
      <c r="F24" t="inlineStr">
        <is>
          <t>Rafael Torres</t>
        </is>
      </c>
      <c r="G24" t="inlineStr">
        <is>
          <t>Em andamento</t>
        </is>
      </c>
      <c r="H24" s="5" t="n">
        <v>45667.66666666666</v>
      </c>
      <c r="I2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4">
        <f>IF(AND(Ocorrencias[[#This Row],[Status]]&lt;&gt;"Fechada",TODAY()&gt;Ocorrencias[[#This Row],[Prazo]]),"SIM","")</f>
        <v/>
      </c>
      <c r="K24">
        <f>IFERROR(VLOOKUP(Ocorrencias[[#This Row],[Local]],Unidades!A:B,2,FALSE),"")</f>
        <v/>
      </c>
      <c r="L24" s="7">
        <f>IF(Ocorrencias[[#This Row],[Status]]="Fechada","",TODAY()-Ocorrencias[[#This Row],[DataAbertura]])</f>
        <v/>
      </c>
    </row>
    <row r="25">
      <c r="A25" t="inlineStr">
        <is>
          <t>OS-1601</t>
        </is>
      </c>
      <c r="B25" t="inlineStr">
        <is>
          <t>Aquecimento no mancal do motor V-35</t>
        </is>
      </c>
      <c r="C25" t="inlineStr">
        <is>
          <t>Mancal do motor V-35 acima da temperatura usual na medição com termômetro infravermelho.</t>
        </is>
      </c>
      <c r="D25" t="inlineStr">
        <is>
          <t>Laboratório de Controle</t>
        </is>
      </c>
      <c r="E25" t="inlineStr">
        <is>
          <t>Alta</t>
        </is>
      </c>
      <c r="F25" t="inlineStr">
        <is>
          <t>Lívia Montenegro</t>
        </is>
      </c>
      <c r="G25" t="inlineStr">
        <is>
          <t>Aberta</t>
        </is>
      </c>
      <c r="H25" s="5" t="n">
        <v>45692.54166666666</v>
      </c>
      <c r="I2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5">
        <f>IF(AND(Ocorrencias[[#This Row],[Status]]&lt;&gt;"Fechada",TODAY()&gt;Ocorrencias[[#This Row],[Prazo]]),"SIM","")</f>
        <v/>
      </c>
      <c r="K25">
        <f>IFERROR(VLOOKUP(Ocorrencias[[#This Row],[Local]],Unidades!A:B,2,FALSE),"")</f>
        <v/>
      </c>
      <c r="L25" s="7">
        <f>IF(Ocorrencias[[#This Row],[Status]]="Fechada","",TODAY()-Ocorrencias[[#This Row],[DataAbertura]])</f>
        <v/>
      </c>
    </row>
    <row r="26">
      <c r="A26" t="inlineStr">
        <is>
          <t>OS-1682</t>
        </is>
      </c>
      <c r="B26" t="inlineStr">
        <is>
          <t>Infiltração na parede da casa de bombas M-04</t>
        </is>
      </c>
      <c r="C26" t="inlineStr">
        <is>
          <t>Mancha de umidade crescente na parede da casa de bombas M-04.</t>
        </is>
      </c>
      <c r="D26" t="inlineStr">
        <is>
          <t>ETE Rio Claro</t>
        </is>
      </c>
      <c r="E26" t="inlineStr">
        <is>
          <t>Média</t>
        </is>
      </c>
      <c r="F26" t="inlineStr">
        <is>
          <t>Bernardo Leal</t>
        </is>
      </c>
      <c r="G26" t="inlineStr">
        <is>
          <t>Em andamento</t>
        </is>
      </c>
      <c r="H26" s="5" t="n">
        <v>45717.5</v>
      </c>
      <c r="I2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6">
        <f>IF(AND(Ocorrencias[[#This Row],[Status]]&lt;&gt;"Fechada",TODAY()&gt;Ocorrencias[[#This Row],[Prazo]]),"SIM","")</f>
        <v/>
      </c>
      <c r="K26">
        <f>IFERROR(VLOOKUP(Ocorrencias[[#This Row],[Local]],Unidades!A:B,2,FALSE),"")</f>
        <v/>
      </c>
      <c r="L26" s="7">
        <f>IF(Ocorrencias[[#This Row],[Status]]="Fechada","",TODAY()-Ocorrencias[[#This Row],[DataAbertura]])</f>
        <v/>
      </c>
    </row>
    <row r="27">
      <c r="A27" t="inlineStr">
        <is>
          <t>OS-1763</t>
        </is>
      </c>
      <c r="B27" t="inlineStr">
        <is>
          <t>Bomba dosadora C-16 sem recalque</t>
        </is>
      </c>
      <c r="C27" t="inlineStr">
        <is>
          <t>Bomba dosadora C-16 liga mas não dosa. Mangueira sem obstrução aparente.</t>
        </is>
      </c>
      <c r="D27" t="inlineStr">
        <is>
          <t>Reservatório Alto da Colina</t>
        </is>
      </c>
      <c r="E27" t="inlineStr">
        <is>
          <t>Crítica</t>
        </is>
      </c>
      <c r="F27" t="inlineStr">
        <is>
          <t>Murilo Paiva</t>
        </is>
      </c>
      <c r="G27" t="inlineStr">
        <is>
          <t>Em andamento</t>
        </is>
      </c>
      <c r="H27" s="5" t="n">
        <v>45742.625</v>
      </c>
      <c r="I2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7">
        <f>IF(AND(Ocorrencias[[#This Row],[Status]]&lt;&gt;"Fechada",TODAY()&gt;Ocorrencias[[#This Row],[Prazo]]),"SIM","")</f>
        <v/>
      </c>
      <c r="K27">
        <f>IFERROR(VLOOKUP(Ocorrencias[[#This Row],[Local]],Unidades!A:B,2,FALSE),"")</f>
        <v/>
      </c>
      <c r="L27" s="7">
        <f>IF(Ocorrencias[[#This Row],[Status]]="Fechada","",TODAY()-Ocorrencias[[#This Row],[DataAbertura]])</f>
        <v/>
      </c>
    </row>
    <row r="28">
      <c r="A28" t="inlineStr">
        <is>
          <t>OS-1844</t>
        </is>
      </c>
      <c r="B28" t="inlineStr">
        <is>
          <t>Aquecimento no mancal do motor M-40</t>
        </is>
      </c>
      <c r="C28" t="inlineStr">
        <is>
          <t>Mancal do motor M-40 acima da temperatura usual na medição com termômetro infravermelho.</t>
        </is>
      </c>
      <c r="D28" t="inlineStr">
        <is>
          <t>ETE Rio Claro</t>
        </is>
      </c>
      <c r="E28" t="inlineStr">
        <is>
          <t>Alta</t>
        </is>
      </c>
      <c r="F28" t="inlineStr">
        <is>
          <t>Murilo Paiva</t>
        </is>
      </c>
      <c r="G28" t="inlineStr">
        <is>
          <t>Aberta</t>
        </is>
      </c>
      <c r="H28" s="5" t="n">
        <v>45767.58333333334</v>
      </c>
      <c r="I2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8">
        <f>IF(AND(Ocorrencias[[#This Row],[Status]]&lt;&gt;"Fechada",TODAY()&gt;Ocorrencias[[#This Row],[Prazo]]),"SIM","")</f>
        <v/>
      </c>
      <c r="K28">
        <f>IFERROR(VLOOKUP(Ocorrencias[[#This Row],[Local]],Unidades!A:B,2,FALSE),"")</f>
        <v/>
      </c>
      <c r="L28" s="7">
        <f>IF(Ocorrencias[[#This Row],[Status]]="Fechada","",TODAY()-Ocorrencias[[#This Row],[DataAbertura]])</f>
        <v/>
      </c>
    </row>
    <row r="29">
      <c r="A29" t="inlineStr">
        <is>
          <t>OS-1925</t>
        </is>
      </c>
      <c r="B29" t="inlineStr">
        <is>
          <t>Válvula P-22 não fecha por completo</t>
        </is>
      </c>
      <c r="C29" t="inlineStr">
        <is>
          <t>Válvula P-22 com passagem residual mesmo totalmente fechada. Possível desgaste da sede.</t>
        </is>
      </c>
      <c r="D29" t="inlineStr">
        <is>
          <t>Torre de Telecomunicação Morro Alto</t>
        </is>
      </c>
      <c r="E29" t="inlineStr">
        <is>
          <t>Média</t>
        </is>
      </c>
      <c r="F29" t="inlineStr">
        <is>
          <t>Kleber Antunes</t>
        </is>
      </c>
      <c r="G29" t="inlineStr">
        <is>
          <t>Em andamento</t>
        </is>
      </c>
      <c r="H29" s="5" t="n">
        <v>45792.5</v>
      </c>
      <c r="I2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9">
        <f>IF(AND(Ocorrencias[[#This Row],[Status]]&lt;&gt;"Fechada",TODAY()&gt;Ocorrencias[[#This Row],[Prazo]]),"SIM","")</f>
        <v/>
      </c>
      <c r="K29">
        <f>IFERROR(VLOOKUP(Ocorrencias[[#This Row],[Local]],Unidades!A:B,2,FALSE),"")</f>
        <v/>
      </c>
      <c r="L29" s="7">
        <f>IF(Ocorrencias[[#This Row],[Status]]="Fechada","",TODAY()-Ocorrencias[[#This Row],[DataAbertura]])</f>
        <v/>
      </c>
    </row>
    <row r="30">
      <c r="A30" t="inlineStr">
        <is>
          <t>OS-2006</t>
        </is>
      </c>
      <c r="B30" t="inlineStr">
        <is>
          <t>Bomba dosadora C-02 sem recalque</t>
        </is>
      </c>
      <c r="C30" t="inlineStr">
        <is>
          <t>Bomba dosadora C-02 liga mas não dosa. Mangueira sem obstrução aparente.</t>
        </is>
      </c>
      <c r="D30" t="inlineStr">
        <is>
          <t>Pátio de Veículos</t>
        </is>
      </c>
      <c r="E30" t="inlineStr">
        <is>
          <t>Média</t>
        </is>
      </c>
      <c r="F30" t="inlineStr">
        <is>
          <t>Igor Fonseca</t>
        </is>
      </c>
      <c r="G30" t="inlineStr">
        <is>
          <t>Aberta</t>
        </is>
      </c>
      <c r="H30" s="5" t="n">
        <v>45817.625</v>
      </c>
      <c r="I3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0">
        <f>IF(AND(Ocorrencias[[#This Row],[Status]]&lt;&gt;"Fechada",TODAY()&gt;Ocorrencias[[#This Row],[Prazo]]),"SIM","")</f>
        <v/>
      </c>
      <c r="K30">
        <f>IFERROR(VLOOKUP(Ocorrencias[[#This Row],[Local]],Unidades!A:B,2,FALSE),"")</f>
        <v/>
      </c>
      <c r="L30" s="7">
        <f>IF(Ocorrencias[[#This Row],[Status]]="Fechada","",TODAY()-Ocorrencias[[#This Row],[DataAbertura]])</f>
        <v/>
      </c>
    </row>
    <row r="31">
      <c r="A31" t="inlineStr">
        <is>
          <t>OS-2087</t>
        </is>
      </c>
      <c r="B31" t="inlineStr">
        <is>
          <t>Exaustor P-16 parado</t>
        </is>
      </c>
      <c r="C31" t="inlineStr">
        <is>
          <t>Exaustor P-16 não parte. Fusível íntegro.</t>
        </is>
      </c>
      <c r="D31" t="inlineStr">
        <is>
          <t>Subestacao Norte</t>
        </is>
      </c>
      <c r="E31" t="inlineStr">
        <is>
          <t>Baixa</t>
        </is>
      </c>
      <c r="F31" t="inlineStr">
        <is>
          <t>Juliana Aguiar</t>
        </is>
      </c>
      <c r="G31" t="inlineStr">
        <is>
          <t>Em andamento</t>
        </is>
      </c>
      <c r="H31" s="5" t="n">
        <v>45842.625</v>
      </c>
      <c r="I3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1">
        <f>IF(AND(Ocorrencias[[#This Row],[Status]]&lt;&gt;"Fechada",TODAY()&gt;Ocorrencias[[#This Row],[Prazo]]),"SIM","")</f>
        <v/>
      </c>
      <c r="K31">
        <f>IFERROR(VLOOKUP(Ocorrencias[[#This Row],[Local]],Unidades!A:B,2,FALSE),"")</f>
        <v/>
      </c>
      <c r="L31" s="7">
        <f>IF(Ocorrencias[[#This Row],[Status]]="Fechada","",TODAY()-Ocorrencias[[#This Row],[DataAbertura]])</f>
        <v/>
      </c>
    </row>
    <row r="32">
      <c r="A32" t="inlineStr">
        <is>
          <t>OS-2168</t>
        </is>
      </c>
      <c r="B32" t="inlineStr">
        <is>
          <t>Troca de filtro do compressor D-32</t>
        </is>
      </c>
      <c r="C32" t="inlineStr">
        <is>
          <t>Filtro de ar do compressor D-32 saturado. Substituição preventiva.</t>
        </is>
      </c>
      <c r="D32" t="inlineStr">
        <is>
          <t>ETA Central</t>
        </is>
      </c>
      <c r="E32" t="inlineStr">
        <is>
          <t>Média</t>
        </is>
      </c>
      <c r="F32" t="inlineStr">
        <is>
          <t>Aline Rocha</t>
        </is>
      </c>
      <c r="G32" t="inlineStr">
        <is>
          <t>Aberta</t>
        </is>
      </c>
      <c r="H32" s="5" t="n">
        <v>45867.625</v>
      </c>
      <c r="I3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2">
        <f>IF(AND(Ocorrencias[[#This Row],[Status]]&lt;&gt;"Fechada",TODAY()&gt;Ocorrencias[[#This Row],[Prazo]]),"SIM","")</f>
        <v/>
      </c>
      <c r="K32">
        <f>IFERROR(VLOOKUP(Ocorrencias[[#This Row],[Local]],Unidades!A:B,2,FALSE),"")</f>
        <v/>
      </c>
      <c r="L32" s="7">
        <f>IF(Ocorrencias[[#This Row],[Status]]="Fechada","",TODAY()-Ocorrencias[[#This Row],[DataAbertura]])</f>
        <v/>
      </c>
    </row>
    <row r="33">
      <c r="A33" t="inlineStr">
        <is>
          <t>OS-2249</t>
        </is>
      </c>
      <c r="B33" t="inlineStr">
        <is>
          <t>Aquecimento no mancal do motor V-32</t>
        </is>
      </c>
      <c r="C33" t="inlineStr">
        <is>
          <t>Mancal do motor V-32 acima da temperatura usual na medição com termômetro infravermelho.</t>
        </is>
      </c>
      <c r="D33" t="inlineStr">
        <is>
          <t>Sede Administrativa</t>
        </is>
      </c>
      <c r="E33" t="inlineStr">
        <is>
          <t>Média</t>
        </is>
      </c>
      <c r="F33" t="inlineStr">
        <is>
          <t>Wesley Cardoso</t>
        </is>
      </c>
      <c r="G33" t="inlineStr">
        <is>
          <t>Em andamento</t>
        </is>
      </c>
      <c r="H33" s="5" t="n">
        <v>45892.58333333334</v>
      </c>
      <c r="I3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3">
        <f>IF(AND(Ocorrencias[[#This Row],[Status]]&lt;&gt;"Fechada",TODAY()&gt;Ocorrencias[[#This Row],[Prazo]]),"SIM","")</f>
        <v/>
      </c>
      <c r="K33">
        <f>IFERROR(VLOOKUP(Ocorrencias[[#This Row],[Local]],Unidades!A:B,2,FALSE),"")</f>
        <v/>
      </c>
      <c r="L33" s="7">
        <f>IF(Ocorrencias[[#This Row],[Status]]="Fechada","",TODAY()-Ocorrencias[[#This Row],[DataAbertura]])</f>
        <v/>
      </c>
    </row>
    <row r="34">
      <c r="A34" t="inlineStr">
        <is>
          <t>OS-2330</t>
        </is>
      </c>
      <c r="B34" t="inlineStr">
        <is>
          <t>Tomada sem energia na sala G-06</t>
        </is>
      </c>
      <c r="C34" t="inlineStr">
        <is>
          <t>Tomada de serviço da sala G-06 sem tensão.</t>
        </is>
      </c>
      <c r="D34" t="inlineStr">
        <is>
          <t>Oficina Elétrica Central</t>
        </is>
      </c>
      <c r="E34" t="inlineStr">
        <is>
          <t>Baixa</t>
        </is>
      </c>
      <c r="F34" t="inlineStr">
        <is>
          <t>Rafael Torres</t>
        </is>
      </c>
      <c r="G34" t="inlineStr">
        <is>
          <t>Em andamento</t>
        </is>
      </c>
      <c r="H34" s="5" t="n">
        <v>45917.375</v>
      </c>
      <c r="I3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4">
        <f>IF(AND(Ocorrencias[[#This Row],[Status]]&lt;&gt;"Fechada",TODAY()&gt;Ocorrencias[[#This Row],[Prazo]]),"SIM","")</f>
        <v/>
      </c>
      <c r="K34">
        <f>IFERROR(VLOOKUP(Ocorrencias[[#This Row],[Local]],Unidades!A:B,2,FALSE),"")</f>
        <v/>
      </c>
      <c r="L34" s="7">
        <f>IF(Ocorrencias[[#This Row],[Status]]="Fechada","",TODAY()-Ocorrencias[[#This Row],[DataAbertura]])</f>
        <v/>
      </c>
    </row>
    <row r="35">
      <c r="A35" t="inlineStr">
        <is>
          <t>OS-2411</t>
        </is>
      </c>
      <c r="B35" t="inlineStr">
        <is>
          <t>Infiltração na parede da casa de bombas C-25</t>
        </is>
      </c>
      <c r="C35" t="inlineStr">
        <is>
          <t>Mancha de umidade crescente na parede da casa de bombas C-25.</t>
        </is>
      </c>
      <c r="D35" t="inlineStr">
        <is>
          <t>Booster Morada do Sol</t>
        </is>
      </c>
      <c r="E35" t="inlineStr">
        <is>
          <t>Baixa</t>
        </is>
      </c>
      <c r="F35" t="inlineStr">
        <is>
          <t>Larissa Bezerra</t>
        </is>
      </c>
      <c r="G35" t="inlineStr">
        <is>
          <t>Em andamento</t>
        </is>
      </c>
      <c r="H35" s="5" t="n">
        <v>45942.625</v>
      </c>
      <c r="I3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5">
        <f>IF(AND(Ocorrencias[[#This Row],[Status]]&lt;&gt;"Fechada",TODAY()&gt;Ocorrencias[[#This Row],[Prazo]]),"SIM","")</f>
        <v/>
      </c>
      <c r="K35">
        <f>IFERROR(VLOOKUP(Ocorrencias[[#This Row],[Local]],Unidades!A:B,2,FALSE),"")</f>
        <v/>
      </c>
      <c r="L35" s="7">
        <f>IF(Ocorrencias[[#This Row],[Status]]="Fechada","",TODAY()-Ocorrencias[[#This Row],[DataAbertura]])</f>
        <v/>
      </c>
    </row>
    <row r="36">
      <c r="A36" t="inlineStr">
        <is>
          <t>OS-2492</t>
        </is>
      </c>
      <c r="B36" t="inlineStr">
        <is>
          <t>Medidor de vazão V-35 com leitura instável</t>
        </is>
      </c>
      <c r="C36" t="inlineStr">
        <is>
          <t>Medidor de vazão V-35 oscila sem variação de processo.</t>
        </is>
      </c>
      <c r="D36" t="inlineStr">
        <is>
          <t>Subestação Norte</t>
        </is>
      </c>
      <c r="E36" t="inlineStr">
        <is>
          <t>Crítica</t>
        </is>
      </c>
      <c r="F36" t="inlineStr">
        <is>
          <t>Larissa Bezerra</t>
        </is>
      </c>
      <c r="G36" t="inlineStr">
        <is>
          <t>Aberta</t>
        </is>
      </c>
      <c r="H36" s="5" t="n">
        <v>45967.375</v>
      </c>
      <c r="I3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6">
        <f>IF(AND(Ocorrencias[[#This Row],[Status]]&lt;&gt;"Fechada",TODAY()&gt;Ocorrencias[[#This Row],[Prazo]]),"SIM","")</f>
        <v/>
      </c>
      <c r="K36">
        <f>IFERROR(VLOOKUP(Ocorrencias[[#This Row],[Local]],Unidades!A:B,2,FALSE),"")</f>
        <v/>
      </c>
      <c r="L36" s="7">
        <f>IF(Ocorrencias[[#This Row],[Status]]="Fechada","",TODAY()-Ocorrencias[[#This Row],[DataAbertura]])</f>
        <v/>
      </c>
    </row>
    <row r="37">
      <c r="A37" t="inlineStr">
        <is>
          <t>OS-2573</t>
        </is>
      </c>
      <c r="B37" t="inlineStr">
        <is>
          <t>Bomba dosadora R-07 sem recalque</t>
        </is>
      </c>
      <c r="C37" t="inlineStr">
        <is>
          <t>Bomba dosadora R-07 liga mas não dosa. Mangueira sem obstrução aparente.</t>
        </is>
      </c>
      <c r="D37" t="inlineStr">
        <is>
          <t>Reservatório Industrial</t>
        </is>
      </c>
      <c r="E37" t="inlineStr">
        <is>
          <t>Alta</t>
        </is>
      </c>
      <c r="F37" t="inlineStr">
        <is>
          <t>Kleber Antunes</t>
        </is>
      </c>
      <c r="G37" t="inlineStr">
        <is>
          <t>Aberta</t>
        </is>
      </c>
      <c r="H37" s="5" t="n">
        <v>45992.58333333334</v>
      </c>
      <c r="I3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7">
        <f>IF(AND(Ocorrencias[[#This Row],[Status]]&lt;&gt;"Fechada",TODAY()&gt;Ocorrencias[[#This Row],[Prazo]]),"SIM","")</f>
        <v/>
      </c>
      <c r="K37">
        <f>IFERROR(VLOOKUP(Ocorrencias[[#This Row],[Local]],Unidades!A:B,2,FALSE),"")</f>
        <v/>
      </c>
      <c r="L37" s="7">
        <f>IF(Ocorrencias[[#This Row],[Status]]="Fechada","",TODAY()-Ocorrencias[[#This Row],[DataAbertura]])</f>
        <v/>
      </c>
    </row>
    <row r="38">
      <c r="A38" t="inlineStr">
        <is>
          <t>OS-2701</t>
        </is>
      </c>
      <c r="B38" t="inlineStr">
        <is>
          <t>Ar-condicionado da sala P-31 sem refrigerar</t>
        </is>
      </c>
      <c r="C38" t="inlineStr">
        <is>
          <t>Ar-condicionado da sala de painéis P-31 ligado sem refrigerar.</t>
        </is>
      </c>
      <c r="D38" t="inlineStr">
        <is>
          <t>ETA Central</t>
        </is>
      </c>
      <c r="E38" t="inlineStr">
        <is>
          <t>Alta</t>
        </is>
      </c>
      <c r="F38" t="inlineStr">
        <is>
          <t>Jonas Teles</t>
        </is>
      </c>
      <c r="G38" t="inlineStr">
        <is>
          <t>Fechada</t>
        </is>
      </c>
      <c r="H38" s="5" t="n">
        <v>46027.32430555556</v>
      </c>
      <c r="I3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8">
        <f>IF(AND(Ocorrencias[[#This Row],[Status]]&lt;&gt;"Fechada",TODAY()&gt;Ocorrencias[[#This Row],[Prazo]]),"SIM","")</f>
        <v/>
      </c>
      <c r="K38">
        <f>IFERROR(VLOOKUP(Ocorrencias[[#This Row],[Local]],Unidades!A:B,2,FALSE),"")</f>
        <v/>
      </c>
      <c r="L38" s="7">
        <f>IF(Ocorrencias[[#This Row],[Status]]="Fechada","",TODAY()-Ocorrencias[[#This Row],[DataAbertura]])</f>
        <v/>
      </c>
    </row>
    <row r="39">
      <c r="A39" t="inlineStr">
        <is>
          <t>OS-2702</t>
        </is>
      </c>
      <c r="B39" t="inlineStr">
        <is>
          <t>Medidor de vazão D-27 com leitura instável</t>
        </is>
      </c>
      <c r="C39" t="inlineStr">
        <is>
          <t>Medidor de vazão D-27 oscila sem variação de processo.</t>
        </is>
      </c>
      <c r="D39" t="inlineStr">
        <is>
          <t>Subestação Norte</t>
        </is>
      </c>
      <c r="E39" t="inlineStr">
        <is>
          <t>Baixa</t>
        </is>
      </c>
      <c r="F39" t="inlineStr">
        <is>
          <t>Thiago Bastos</t>
        </is>
      </c>
      <c r="G39" t="inlineStr">
        <is>
          <t>Aberta</t>
        </is>
      </c>
      <c r="H39" s="5" t="n">
        <v>46028.08668170559</v>
      </c>
      <c r="I3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9">
        <f>IF(AND(Ocorrencias[[#This Row],[Status]]&lt;&gt;"Fechada",TODAY()&gt;Ocorrencias[[#This Row],[Prazo]]),"SIM","")</f>
        <v/>
      </c>
      <c r="K39">
        <f>IFERROR(VLOOKUP(Ocorrencias[[#This Row],[Local]],Unidades!A:B,2,FALSE),"")</f>
        <v/>
      </c>
      <c r="L39" s="7">
        <f>IF(Ocorrencias[[#This Row],[Status]]="Fechada","",TODAY()-Ocorrencias[[#This Row],[DataAbertura]])</f>
        <v/>
      </c>
    </row>
    <row r="40">
      <c r="A40" t="inlineStr">
        <is>
          <t>OS-2703</t>
        </is>
      </c>
      <c r="B40" t="inlineStr">
        <is>
          <t>Lâmpada queimada na área H-01</t>
        </is>
      </c>
      <c r="C40" t="inlineStr">
        <is>
          <t>Iluminação da área H-01 sem funcionar. Reposição de lâmpada e conferência do reator.</t>
        </is>
      </c>
      <c r="D40" t="inlineStr">
        <is>
          <t>Subestação Centro</t>
        </is>
      </c>
      <c r="E40" t="inlineStr">
        <is>
          <t>Média</t>
        </is>
      </c>
      <c r="F40" t="inlineStr">
        <is>
          <t>Otávio Lacerda</t>
        </is>
      </c>
      <c r="G40" t="inlineStr">
        <is>
          <t>Fechada</t>
        </is>
      </c>
      <c r="H40" s="5" t="n">
        <v>46028.92475230007</v>
      </c>
      <c r="I4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40">
        <f>IF(AND(Ocorrencias[[#This Row],[Status]]&lt;&gt;"Fechada",TODAY()&gt;Ocorrencias[[#This Row],[Prazo]]),"SIM","")</f>
        <v/>
      </c>
      <c r="K40">
        <f>IFERROR(VLOOKUP(Ocorrencias[[#This Row],[Local]],Unidades!A:B,2,FALSE),"")</f>
        <v/>
      </c>
      <c r="L40" s="7">
        <f>IF(Ocorrencias[[#This Row],[Status]]="Fechada","",TODAY()-Ocorrencias[[#This Row],[DataAbertura]])</f>
        <v/>
      </c>
    </row>
    <row r="41">
      <c r="A41" t="inlineStr">
        <is>
          <t>OS-2704</t>
        </is>
      </c>
      <c r="B41" t="inlineStr">
        <is>
          <t>Troca de filtro do compressor M-05</t>
        </is>
      </c>
      <c r="C41" t="inlineStr">
        <is>
          <t>Filtro de ar do compressor M-05 saturado. Substituição preventiva.</t>
        </is>
      </c>
      <c r="D41" t="inlineStr">
        <is>
          <t>Booster Parque das Águas</t>
        </is>
      </c>
      <c r="E41" t="inlineStr">
        <is>
          <t>Baixa</t>
        </is>
      </c>
      <c r="F41" t="inlineStr">
        <is>
          <t>Érica Andrade</t>
        </is>
      </c>
      <c r="G41" t="inlineStr">
        <is>
          <t>Fechada</t>
        </is>
      </c>
      <c r="H41" s="5" t="n">
        <v>46029.67462845011</v>
      </c>
      <c r="I4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41">
        <f>IF(AND(Ocorrencias[[#This Row],[Status]]&lt;&gt;"Fechada",TODAY()&gt;Ocorrencias[[#This Row],[Prazo]]),"SIM","")</f>
        <v/>
      </c>
      <c r="K41">
        <f>IFERROR(VLOOKUP(Ocorrencias[[#This Row],[Local]],Unidades!A:B,2,FALSE),"")</f>
        <v/>
      </c>
      <c r="L41" s="7">
        <f>IF(Ocorrencias[[#This Row],[Status]]="Fechada","",TODAY()-Ocorrencias[[#This Row],[DataAbertura]])</f>
        <v/>
      </c>
    </row>
    <row r="42">
      <c r="A42" t="inlineStr">
        <is>
          <t>OS-2705</t>
        </is>
      </c>
      <c r="B42" t="inlineStr">
        <is>
          <t>Bomba dosadora V-20 sem recalque</t>
        </is>
      </c>
      <c r="C42" t="inlineStr">
        <is>
          <t>Bomba dosadora V-20 liga mas não dosa. Mangueira sem obstrução aparente.</t>
        </is>
      </c>
      <c r="D42" t="inlineStr">
        <is>
          <t>Usina Fotovoltaica Planalto</t>
        </is>
      </c>
      <c r="E42" t="inlineStr">
        <is>
          <t>Alta</t>
        </is>
      </c>
      <c r="F42" t="inlineStr">
        <is>
          <t>Cíntia Freitas</t>
        </is>
      </c>
      <c r="G42" t="inlineStr">
        <is>
          <t>Fechada</t>
        </is>
      </c>
      <c r="H42" s="5" t="n">
        <v>46030.47936571125</v>
      </c>
      <c r="I4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42">
        <f>IF(AND(Ocorrencias[[#This Row],[Status]]&lt;&gt;"Fechada",TODAY()&gt;Ocorrencias[[#This Row],[Prazo]]),"SIM","")</f>
        <v/>
      </c>
      <c r="K42">
        <f>IFERROR(VLOOKUP(Ocorrencias[[#This Row],[Local]],Unidades!A:B,2,FALSE),"")</f>
        <v/>
      </c>
      <c r="L42" s="7">
        <f>IF(Ocorrencias[[#This Row],[Status]]="Fechada","",TODAY()-Ocorrencias[[#This Row],[DataAbertura]])</f>
        <v/>
      </c>
    </row>
    <row r="43">
      <c r="A43" t="inlineStr">
        <is>
          <t>OS-2706</t>
        </is>
      </c>
      <c r="B43" t="inlineStr">
        <is>
          <t>Calha entupida no prédio F-21</t>
        </is>
      </c>
      <c r="C43" t="inlineStr">
        <is>
          <t>Calha do prédio F-21 transbordando em dia de chuva.</t>
        </is>
      </c>
      <c r="D43" t="inlineStr">
        <is>
          <t>Subestação Centro</t>
        </is>
      </c>
      <c r="E43" t="inlineStr">
        <is>
          <t>Baixa</t>
        </is>
      </c>
      <c r="F43" t="inlineStr">
        <is>
          <t>Murilo Paiva</t>
        </is>
      </c>
      <c r="G43" t="inlineStr">
        <is>
          <t>Aberta</t>
        </is>
      </c>
      <c r="H43" s="5" t="n">
        <v>46031.31118630573</v>
      </c>
      <c r="I4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43">
        <f>IF(AND(Ocorrencias[[#This Row],[Status]]&lt;&gt;"Fechada",TODAY()&gt;Ocorrencias[[#This Row],[Prazo]]),"SIM","")</f>
        <v/>
      </c>
      <c r="K43">
        <f>IFERROR(VLOOKUP(Ocorrencias[[#This Row],[Local]],Unidades!A:B,2,FALSE),"")</f>
        <v/>
      </c>
      <c r="L43" s="7">
        <f>IF(Ocorrencias[[#This Row],[Status]]="Fechada","",TODAY()-Ocorrencias[[#This Row],[DataAbertura]])</f>
        <v/>
      </c>
    </row>
    <row r="44">
      <c r="A44" t="inlineStr">
        <is>
          <t>OS-2707</t>
        </is>
      </c>
      <c r="B44" t="inlineStr">
        <is>
          <t>Vazamento na bomba E-14</t>
        </is>
      </c>
      <c r="C44" t="inlineStr">
        <is>
          <t>Vazamento pelo selo mecânico da bomba E-14. Piso molhado ao redor da base.</t>
        </is>
      </c>
      <c r="D44" t="inlineStr">
        <is>
          <t>Estação Elevatória Leste</t>
        </is>
      </c>
      <c r="E44" t="inlineStr">
        <is>
          <t>Baixa</t>
        </is>
      </c>
      <c r="F44" t="inlineStr">
        <is>
          <t>Bernardo Leal</t>
        </is>
      </c>
      <c r="G44" t="inlineStr">
        <is>
          <t>Fechada</t>
        </is>
      </c>
      <c r="H44" s="5" t="n">
        <v>46032.09856245577</v>
      </c>
      <c r="I4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44">
        <f>IF(AND(Ocorrencias[[#This Row],[Status]]&lt;&gt;"Fechada",TODAY()&gt;Ocorrencias[[#This Row],[Prazo]]),"SIM","")</f>
        <v/>
      </c>
      <c r="K44">
        <f>IFERROR(VLOOKUP(Ocorrencias[[#This Row],[Local]],Unidades!A:B,2,FALSE),"")</f>
        <v/>
      </c>
      <c r="L44" s="7">
        <f>IF(Ocorrencias[[#This Row],[Status]]="Fechada","",TODAY()-Ocorrencias[[#This Row],[DataAbertura]])</f>
        <v/>
      </c>
    </row>
    <row r="45">
      <c r="A45" t="inlineStr">
        <is>
          <t>OS-2708</t>
        </is>
      </c>
      <c r="B45" t="inlineStr">
        <is>
          <t>Infiltração na parede da casa de bombas V-21</t>
        </is>
      </c>
      <c r="C45" t="inlineStr">
        <is>
          <t>Mancha de umidade crescente na parede da casa de bombas V-21.</t>
        </is>
      </c>
      <c r="D45" t="inlineStr">
        <is>
          <t>Subestação Centro</t>
        </is>
      </c>
      <c r="E45" t="inlineStr">
        <is>
          <t>Alta</t>
        </is>
      </c>
      <c r="F45" t="inlineStr">
        <is>
          <t>Aline Rocha</t>
        </is>
      </c>
      <c r="G45" t="inlineStr">
        <is>
          <t>Fechada</t>
        </is>
      </c>
      <c r="H45" s="5" t="n">
        <v>46032.87621638358</v>
      </c>
      <c r="I4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45">
        <f>IF(AND(Ocorrencias[[#This Row],[Status]]&lt;&gt;"Fechada",TODAY()&gt;Ocorrencias[[#This Row],[Prazo]]),"SIM","")</f>
        <v/>
      </c>
      <c r="K45">
        <f>IFERROR(VLOOKUP(Ocorrencias[[#This Row],[Local]],Unidades!A:B,2,FALSE),"")</f>
        <v/>
      </c>
      <c r="L45" s="7">
        <f>IF(Ocorrencias[[#This Row],[Status]]="Fechada","",TODAY()-Ocorrencias[[#This Row],[DataAbertura]])</f>
        <v/>
      </c>
    </row>
    <row r="46">
      <c r="A46" t="inlineStr">
        <is>
          <t>OS-2709</t>
        </is>
      </c>
      <c r="B46" t="inlineStr">
        <is>
          <t>Lâmpada queimada na área R-22</t>
        </is>
      </c>
      <c r="C46" t="inlineStr">
        <is>
          <t>Iluminação da área R-22 sem funcionar. Reposição de lâmpada e conferência do reator.</t>
        </is>
      </c>
      <c r="D46" t="inlineStr">
        <is>
          <t>Estação Elevatória Porto</t>
        </is>
      </c>
      <c r="E46" t="inlineStr">
        <is>
          <t>Média</t>
        </is>
      </c>
      <c r="F46" t="inlineStr">
        <is>
          <t>Murilo Paiva</t>
        </is>
      </c>
      <c r="G46" t="inlineStr">
        <is>
          <t>Fechada</t>
        </is>
      </c>
      <c r="H46" s="5" t="n">
        <v>46033.66706475583</v>
      </c>
      <c r="I4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46">
        <f>IF(AND(Ocorrencias[[#This Row],[Status]]&lt;&gt;"Fechada",TODAY()&gt;Ocorrencias[[#This Row],[Prazo]]),"SIM","")</f>
        <v/>
      </c>
      <c r="K46">
        <f>IFERROR(VLOOKUP(Ocorrencias[[#This Row],[Local]],Unidades!A:B,2,FALSE),"")</f>
        <v/>
      </c>
      <c r="L46" s="7">
        <f>IF(Ocorrencias[[#This Row],[Status]]="Fechada","",TODAY()-Ocorrencias[[#This Row],[DataAbertura]])</f>
        <v/>
      </c>
    </row>
    <row r="47">
      <c r="A47" t="inlineStr">
        <is>
          <t>OS-2710</t>
        </is>
      </c>
      <c r="B47" t="inlineStr">
        <is>
          <t>Medidor de vazão P-35 com leitura instável</t>
        </is>
      </c>
      <c r="C47" t="inlineStr">
        <is>
          <t>Medidor de vazão P-35 oscila sem variação de processo.</t>
        </is>
      </c>
      <c r="D47" t="inlineStr">
        <is>
          <t>Centro de Operações</t>
        </is>
      </c>
      <c r="E47" t="inlineStr">
        <is>
          <t>Baixa</t>
        </is>
      </c>
      <c r="F47" t="inlineStr">
        <is>
          <t>Yara Medeiros</t>
        </is>
      </c>
      <c r="G47" t="inlineStr">
        <is>
          <t>Fechada</t>
        </is>
      </c>
      <c r="H47" s="5" t="n">
        <v>46034.48430201698</v>
      </c>
      <c r="I4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47">
        <f>IF(AND(Ocorrencias[[#This Row],[Status]]&lt;&gt;"Fechada",TODAY()&gt;Ocorrencias[[#This Row],[Prazo]]),"SIM","")</f>
        <v/>
      </c>
      <c r="K47">
        <f>IFERROR(VLOOKUP(Ocorrencias[[#This Row],[Local]],Unidades!A:B,2,FALSE),"")</f>
        <v/>
      </c>
      <c r="L47" s="7">
        <f>IF(Ocorrencias[[#This Row],[Status]]="Fechada","",TODAY()-Ocorrencias[[#This Row],[DataAbertura]])</f>
        <v/>
      </c>
    </row>
    <row r="48">
      <c r="A48" t="inlineStr">
        <is>
          <t>OS-2711</t>
        </is>
      </c>
      <c r="B48" t="inlineStr">
        <is>
          <t>Bomba dosadora E-12 sem recalque</t>
        </is>
      </c>
      <c r="C48" t="inlineStr">
        <is>
          <t>Bomba dosadora E-12 liga mas não dosa. Mangueira sem obstrução aparente.</t>
        </is>
      </c>
      <c r="D48" t="inlineStr">
        <is>
          <t>Subestação Norte</t>
        </is>
      </c>
      <c r="E48" t="inlineStr">
        <is>
          <t>Média</t>
        </is>
      </c>
      <c r="F48" t="inlineStr">
        <is>
          <t>Marcos Vinícius Rocha</t>
        </is>
      </c>
      <c r="G48" t="inlineStr">
        <is>
          <t>Fechada</t>
        </is>
      </c>
      <c r="H48" s="5" t="n">
        <v>46035.27098372257</v>
      </c>
      <c r="I4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48">
        <f>IF(AND(Ocorrencias[[#This Row],[Status]]&lt;&gt;"Fechada",TODAY()&gt;Ocorrencias[[#This Row],[Prazo]]),"SIM","")</f>
        <v/>
      </c>
      <c r="K48">
        <f>IFERROR(VLOOKUP(Ocorrencias[[#This Row],[Local]],Unidades!A:B,2,FALSE),"")</f>
        <v/>
      </c>
      <c r="L48" s="7">
        <f>IF(Ocorrencias[[#This Row],[Status]]="Fechada","",TODAY()-Ocorrencias[[#This Row],[DataAbertura]])</f>
        <v/>
      </c>
    </row>
    <row r="49">
      <c r="A49" t="inlineStr">
        <is>
          <t>OS-2712</t>
        </is>
      </c>
      <c r="B49" t="inlineStr">
        <is>
          <t>Medidor de vazão D-28 com leitura instável</t>
        </is>
      </c>
      <c r="C49" t="inlineStr">
        <is>
          <t>Medidor de vazão D-28 oscila sem variação de processo.</t>
        </is>
      </c>
      <c r="D49" t="inlineStr">
        <is>
          <t>Subestação Centro</t>
        </is>
      </c>
      <c r="E49" t="inlineStr">
        <is>
          <t>Média</t>
        </is>
      </c>
      <c r="F49" t="inlineStr">
        <is>
          <t>Aline Rocha</t>
        </is>
      </c>
      <c r="G49" t="inlineStr">
        <is>
          <t>Fechada</t>
        </is>
      </c>
      <c r="H49" s="5" t="n">
        <v>46036.03405431705</v>
      </c>
      <c r="I4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49">
        <f>IF(AND(Ocorrencias[[#This Row],[Status]]&lt;&gt;"Fechada",TODAY()&gt;Ocorrencias[[#This Row],[Prazo]]),"SIM","")</f>
        <v/>
      </c>
      <c r="K49">
        <f>IFERROR(VLOOKUP(Ocorrencias[[#This Row],[Local]],Unidades!A:B,2,FALSE),"")</f>
        <v/>
      </c>
      <c r="L49" s="7">
        <f>IF(Ocorrencias[[#This Row],[Status]]="Fechada","",TODAY()-Ocorrencias[[#This Row],[DataAbertura]])</f>
        <v/>
      </c>
    </row>
    <row r="50">
      <c r="A50" t="inlineStr">
        <is>
          <t>OS-2713</t>
        </is>
      </c>
      <c r="B50" t="inlineStr">
        <is>
          <t>Calha entupida no prédio T-04</t>
        </is>
      </c>
      <c r="C50" t="inlineStr">
        <is>
          <t>Calha do prédio T-04 transbordando em dia de chuva.</t>
        </is>
      </c>
      <c r="D50" t="inlineStr">
        <is>
          <t>Usina Fotovoltaica Planalto</t>
        </is>
      </c>
      <c r="E50" t="inlineStr">
        <is>
          <t>Média</t>
        </is>
      </c>
      <c r="F50" t="inlineStr">
        <is>
          <t>Ingrid Queiroz</t>
        </is>
      </c>
      <c r="G50" t="inlineStr">
        <is>
          <t>Fechada</t>
        </is>
      </c>
      <c r="H50" s="5" t="n">
        <v>46036.85823602264</v>
      </c>
      <c r="I5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50">
        <f>IF(AND(Ocorrencias[[#This Row],[Status]]&lt;&gt;"Fechada",TODAY()&gt;Ocorrencias[[#This Row],[Prazo]]),"SIM","")</f>
        <v/>
      </c>
      <c r="K50">
        <f>IFERROR(VLOOKUP(Ocorrencias[[#This Row],[Local]],Unidades!A:B,2,FALSE),"")</f>
        <v/>
      </c>
      <c r="L50" s="7">
        <f>IF(Ocorrencias[[#This Row],[Status]]="Fechada","",TODAY()-Ocorrencias[[#This Row],[DataAbertura]])</f>
        <v/>
      </c>
    </row>
    <row r="51">
      <c r="A51" t="inlineStr">
        <is>
          <t>OS-2714</t>
        </is>
      </c>
      <c r="B51" t="inlineStr">
        <is>
          <t>Troca de filtro do compressor P-20</t>
        </is>
      </c>
      <c r="C51" t="inlineStr">
        <is>
          <t>Filtro de ar do compressor P-20 saturado. Substituição preventiva.</t>
        </is>
      </c>
      <c r="D51" t="inlineStr">
        <is>
          <t>ETE Rio Claro</t>
        </is>
      </c>
      <c r="E51" t="inlineStr">
        <is>
          <t>Baixa</t>
        </is>
      </c>
      <c r="G51" t="inlineStr">
        <is>
          <t>Fechada</t>
        </is>
      </c>
      <c r="H51" s="5" t="n">
        <v>46037.66366772823</v>
      </c>
      <c r="I5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51">
        <f>IF(AND(Ocorrencias[[#This Row],[Status]]&lt;&gt;"Fechada",TODAY()&gt;Ocorrencias[[#This Row],[Prazo]]),"SIM","")</f>
        <v/>
      </c>
      <c r="K51">
        <f>IFERROR(VLOOKUP(Ocorrencias[[#This Row],[Local]],Unidades!A:B,2,FALSE),"")</f>
        <v/>
      </c>
      <c r="L51" s="7">
        <f>IF(Ocorrencias[[#This Row],[Status]]="Fechada","",TODAY()-Ocorrencias[[#This Row],[DataAbertura]])</f>
        <v/>
      </c>
    </row>
    <row r="52">
      <c r="A52" t="inlineStr">
        <is>
          <t>OS-2715</t>
        </is>
      </c>
      <c r="B52" t="inlineStr">
        <is>
          <t>Tomada sem energia na sala F-40</t>
        </is>
      </c>
      <c r="C52" t="inlineStr">
        <is>
          <t>Tomada de serviço da sala F-40 sem tensão.</t>
        </is>
      </c>
      <c r="D52" t="inlineStr">
        <is>
          <t>Base Operacional Sul</t>
        </is>
      </c>
      <c r="E52" t="inlineStr">
        <is>
          <t>Média</t>
        </is>
      </c>
      <c r="F52" t="inlineStr">
        <is>
          <t>Yara Medeiros</t>
        </is>
      </c>
      <c r="G52" t="inlineStr">
        <is>
          <t>Fechada</t>
        </is>
      </c>
      <c r="H52" s="5" t="n">
        <v>46038.44965498937</v>
      </c>
      <c r="I5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52">
        <f>IF(AND(Ocorrencias[[#This Row],[Status]]&lt;&gt;"Fechada",TODAY()&gt;Ocorrencias[[#This Row],[Prazo]]),"SIM","")</f>
        <v/>
      </c>
      <c r="K52">
        <f>IFERROR(VLOOKUP(Ocorrencias[[#This Row],[Local]],Unidades!A:B,2,FALSE),"")</f>
        <v/>
      </c>
      <c r="L52" s="7">
        <f>IF(Ocorrencias[[#This Row],[Status]]="Fechada","",TODAY()-Ocorrencias[[#This Row],[DataAbertura]])</f>
        <v/>
      </c>
    </row>
    <row r="53">
      <c r="A53" t="inlineStr">
        <is>
          <t>OS-2716</t>
        </is>
      </c>
      <c r="B53" t="inlineStr">
        <is>
          <t>Correia do ventilador P-15 desgastada</t>
        </is>
      </c>
      <c r="C53" t="inlineStr">
        <is>
          <t>Correia do ventilador P-15 com trincas visíveis e folga excessiva.</t>
        </is>
      </c>
      <c r="D53" t="inlineStr">
        <is>
          <t>Adutora Tronco Norte</t>
        </is>
      </c>
      <c r="E53" t="inlineStr">
        <is>
          <t>Crítica</t>
        </is>
      </c>
      <c r="F53" t="inlineStr">
        <is>
          <t>Aline Rocha</t>
        </is>
      </c>
      <c r="G53" t="inlineStr">
        <is>
          <t>Fechada</t>
        </is>
      </c>
      <c r="H53" s="5" t="n"/>
      <c r="I5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53">
        <f>IF(AND(Ocorrencias[[#This Row],[Status]]&lt;&gt;"Fechada",TODAY()&gt;Ocorrencias[[#This Row],[Prazo]]),"SIM","")</f>
        <v/>
      </c>
      <c r="K53">
        <f>IFERROR(VLOOKUP(Ocorrencias[[#This Row],[Local]],Unidades!A:B,2,FALSE),"")</f>
        <v/>
      </c>
      <c r="L53" s="7">
        <f>IF(Ocorrencias[[#This Row],[Status]]="Fechada","",TODAY()-Ocorrencias[[#This Row],[DataAbertura]])</f>
        <v/>
      </c>
    </row>
    <row r="54">
      <c r="A54" t="inlineStr">
        <is>
          <t>OS-2717</t>
        </is>
      </c>
      <c r="B54" t="inlineStr">
        <is>
          <t>Ar-condicionado da sala G-16 sem refrigerar</t>
        </is>
      </c>
      <c r="C54" t="inlineStr">
        <is>
          <t>Ar-condicionado da sala de painéis G-16 ligado sem refrigerar.</t>
        </is>
      </c>
      <c r="D54" t="inlineStr">
        <is>
          <t>Estação Elevatória Oeste</t>
        </is>
      </c>
      <c r="E54" t="inlineStr">
        <is>
          <t>Média</t>
        </is>
      </c>
      <c r="F54" t="inlineStr">
        <is>
          <t>Beatriz Farias</t>
        </is>
      </c>
      <c r="G54" t="inlineStr">
        <is>
          <t>Fechada</t>
        </is>
      </c>
      <c r="H54" s="5" t="n">
        <v>46040.00565728945</v>
      </c>
      <c r="I5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54">
        <f>IF(AND(Ocorrencias[[#This Row],[Status]]&lt;&gt;"Fechada",TODAY()&gt;Ocorrencias[[#This Row],[Prazo]]),"SIM","")</f>
        <v/>
      </c>
      <c r="K54">
        <f>IFERROR(VLOOKUP(Ocorrencias[[#This Row],[Local]],Unidades!A:B,2,FALSE),"")</f>
        <v/>
      </c>
      <c r="L54" s="7">
        <f>IF(Ocorrencias[[#This Row],[Status]]="Fechada","",TODAY()-Ocorrencias[[#This Row],[DataAbertura]])</f>
        <v/>
      </c>
    </row>
    <row r="55">
      <c r="A55" t="inlineStr">
        <is>
          <t>OS-2718</t>
        </is>
      </c>
      <c r="B55" t="inlineStr">
        <is>
          <t>Disjuntor desarmando no painel E-14</t>
        </is>
      </c>
      <c r="C55" t="inlineStr">
        <is>
          <t>Disjuntor do painel E-14 desarmou três vezes no turno. Carga dentro do nominal.</t>
        </is>
      </c>
      <c r="D55" t="inlineStr">
        <is>
          <t>Almoxarifado Central</t>
        </is>
      </c>
      <c r="E55" t="inlineStr">
        <is>
          <t>Alta</t>
        </is>
      </c>
      <c r="F55" t="inlineStr">
        <is>
          <t>Glória Sampaio</t>
        </is>
      </c>
      <c r="G55" t="inlineStr">
        <is>
          <t>Fechada</t>
        </is>
      </c>
      <c r="H55" s="5" t="n">
        <v>46040.8402556617</v>
      </c>
      <c r="I5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55">
        <f>IF(AND(Ocorrencias[[#This Row],[Status]]&lt;&gt;"Fechada",TODAY()&gt;Ocorrencias[[#This Row],[Prazo]]),"SIM","")</f>
        <v/>
      </c>
      <c r="K55">
        <f>IFERROR(VLOOKUP(Ocorrencias[[#This Row],[Local]],Unidades!A:B,2,FALSE),"")</f>
        <v/>
      </c>
      <c r="L55" s="7">
        <f>IF(Ocorrencias[[#This Row],[Status]]="Fechada","",TODAY()-Ocorrencias[[#This Row],[DataAbertura]])</f>
        <v/>
      </c>
    </row>
    <row r="56">
      <c r="A56" t="inlineStr">
        <is>
          <t>OS-2719</t>
        </is>
      </c>
      <c r="B56" t="inlineStr">
        <is>
          <t>Sensor de nível sem leitura no tanque H-33</t>
        </is>
      </c>
      <c r="C56" t="inlineStr">
        <is>
          <t>Supervisório mostra leitura congelada do sensor de nível do tanque H-33.</t>
        </is>
      </c>
      <c r="D56" t="inlineStr">
        <is>
          <t>Subestação Norte</t>
        </is>
      </c>
      <c r="E56" t="inlineStr">
        <is>
          <t>Alta</t>
        </is>
      </c>
      <c r="F56" t="inlineStr">
        <is>
          <t>Fernanda Quintela</t>
        </is>
      </c>
      <c r="G56" t="inlineStr">
        <is>
          <t>Fechada</t>
        </is>
      </c>
      <c r="H56" s="5" t="n">
        <v>46041.61860403396</v>
      </c>
      <c r="I5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56">
        <f>IF(AND(Ocorrencias[[#This Row],[Status]]&lt;&gt;"Fechada",TODAY()&gt;Ocorrencias[[#This Row],[Prazo]]),"SIM","")</f>
        <v/>
      </c>
      <c r="K56">
        <f>IFERROR(VLOOKUP(Ocorrencias[[#This Row],[Local]],Unidades!A:B,2,FALSE),"")</f>
        <v/>
      </c>
      <c r="L56" s="7">
        <f>IF(Ocorrencias[[#This Row],[Status]]="Fechada","",TODAY()-Ocorrencias[[#This Row],[DataAbertura]])</f>
        <v/>
      </c>
    </row>
    <row r="57">
      <c r="A57" t="inlineStr">
        <is>
          <t>OS-2720</t>
        </is>
      </c>
      <c r="B57" t="inlineStr">
        <is>
          <t>Disjuntor desarmando no painel C-14</t>
        </is>
      </c>
      <c r="C57" t="inlineStr">
        <is>
          <t>Disjuntor do painel C-14 desarmou três vezes no turno. Carga dentro do nominal.</t>
        </is>
      </c>
      <c r="D57" t="inlineStr">
        <is>
          <t>Reservatório Santa Luzia</t>
        </is>
      </c>
      <c r="E57" t="inlineStr">
        <is>
          <t>Média</t>
        </is>
      </c>
      <c r="F57" t="inlineStr">
        <is>
          <t>Yara Medeiros</t>
        </is>
      </c>
      <c r="G57" t="inlineStr">
        <is>
          <t>Fechada</t>
        </is>
      </c>
      <c r="H57" s="5" t="n">
        <v>46042.39000796177</v>
      </c>
      <c r="I5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57">
        <f>IF(AND(Ocorrencias[[#This Row],[Status]]&lt;&gt;"Fechada",TODAY()&gt;Ocorrencias[[#This Row],[Prazo]]),"SIM","")</f>
        <v/>
      </c>
      <c r="K57">
        <f>IFERROR(VLOOKUP(Ocorrencias[[#This Row],[Local]],Unidades!A:B,2,FALSE),"")</f>
        <v/>
      </c>
      <c r="L57" s="7">
        <f>IF(Ocorrencias[[#This Row],[Status]]="Fechada","",TODAY()-Ocorrencias[[#This Row],[DataAbertura]])</f>
        <v/>
      </c>
    </row>
    <row r="58">
      <c r="A58" t="inlineStr">
        <is>
          <t>OS-2721</t>
        </is>
      </c>
      <c r="B58" t="inlineStr">
        <is>
          <t>Tomada sem energia na sala T-07</t>
        </is>
      </c>
      <c r="C58" t="inlineStr">
        <is>
          <t>Tomada de serviço da sala T-07 sem tensão.</t>
        </is>
      </c>
      <c r="D58" t="inlineStr">
        <is>
          <t>Estação Elevatória Leste</t>
        </is>
      </c>
      <c r="E58" t="inlineStr">
        <is>
          <t>Média</t>
        </is>
      </c>
      <c r="F58" t="inlineStr">
        <is>
          <t>Alex Nogueira</t>
        </is>
      </c>
      <c r="G58" t="inlineStr">
        <is>
          <t>Fechada</t>
        </is>
      </c>
      <c r="H58" s="5" t="n"/>
      <c r="I5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58">
        <f>IF(AND(Ocorrencias[[#This Row],[Status]]&lt;&gt;"Fechada",TODAY()&gt;Ocorrencias[[#This Row],[Prazo]]),"SIM","")</f>
        <v/>
      </c>
      <c r="K58">
        <f>IFERROR(VLOOKUP(Ocorrencias[[#This Row],[Local]],Unidades!A:B,2,FALSE),"")</f>
        <v/>
      </c>
      <c r="L58" s="7">
        <f>IF(Ocorrencias[[#This Row],[Status]]="Fechada","",TODAY()-Ocorrencias[[#This Row],[DataAbertura]])</f>
        <v/>
      </c>
    </row>
    <row r="59">
      <c r="A59" t="inlineStr">
        <is>
          <t>OS-2722</t>
        </is>
      </c>
      <c r="B59" t="inlineStr">
        <is>
          <t>Disjuntor desarmando no painel C-22</t>
        </is>
      </c>
      <c r="C59" t="inlineStr">
        <is>
          <t>Disjuntor do painel C-22 desarmou três vezes no turno. Carga dentro do nominal.</t>
        </is>
      </c>
      <c r="D59" t="inlineStr">
        <is>
          <t>Reservatório Industrial</t>
        </is>
      </c>
      <c r="E59" t="inlineStr">
        <is>
          <t>Média</t>
        </is>
      </c>
      <c r="F59" t="inlineStr">
        <is>
          <t>Cíntia Freitas</t>
        </is>
      </c>
      <c r="G59" t="inlineStr">
        <is>
          <t>Fechada</t>
        </is>
      </c>
      <c r="H59" s="5" t="n">
        <v>46043.97448248406</v>
      </c>
      <c r="I5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59">
        <f>IF(AND(Ocorrencias[[#This Row],[Status]]&lt;&gt;"Fechada",TODAY()&gt;Ocorrencias[[#This Row],[Prazo]]),"SIM","")</f>
        <v/>
      </c>
      <c r="K59">
        <f>IFERROR(VLOOKUP(Ocorrencias[[#This Row],[Local]],Unidades!A:B,2,FALSE),"")</f>
        <v/>
      </c>
      <c r="L59" s="7">
        <f>IF(Ocorrencias[[#This Row],[Status]]="Fechada","",TODAY()-Ocorrencias[[#This Row],[DataAbertura]])</f>
        <v/>
      </c>
    </row>
    <row r="60">
      <c r="A60" t="inlineStr">
        <is>
          <t>OS-2723</t>
        </is>
      </c>
      <c r="B60" t="inlineStr">
        <is>
          <t>Disjuntor desarmando no painel T-07</t>
        </is>
      </c>
      <c r="C60" t="inlineStr">
        <is>
          <t>Disjuntor do painel T-07 desarmou três vezes no turno. Carga dentro do nominal.</t>
        </is>
      </c>
      <c r="D60" t="inlineStr">
        <is>
          <t>ETA Ribeirão Fundo</t>
        </is>
      </c>
      <c r="E60" t="inlineStr">
        <is>
          <t>Baixa</t>
        </is>
      </c>
      <c r="F60" t="inlineStr">
        <is>
          <t>Murilo Paiva</t>
        </is>
      </c>
      <c r="G60" t="inlineStr">
        <is>
          <t>Em andamento</t>
        </is>
      </c>
      <c r="H60" s="5" t="n">
        <v>46044.76602530076</v>
      </c>
      <c r="I6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60">
        <f>IF(AND(Ocorrencias[[#This Row],[Status]]&lt;&gt;"Fechada",TODAY()&gt;Ocorrencias[[#This Row],[Prazo]]),"SIM","")</f>
        <v/>
      </c>
      <c r="K60">
        <f>IFERROR(VLOOKUP(Ocorrencias[[#This Row],[Local]],Unidades!A:B,2,FALSE),"")</f>
        <v/>
      </c>
      <c r="L60" s="7">
        <f>IF(Ocorrencias[[#This Row],[Status]]="Fechada","",TODAY()-Ocorrencias[[#This Row],[DataAbertura]])</f>
        <v/>
      </c>
    </row>
    <row r="61">
      <c r="A61" t="inlineStr">
        <is>
          <t>OS-2724</t>
        </is>
      </c>
      <c r="B61" t="inlineStr">
        <is>
          <t>Calha entupida no prédio G-39</t>
        </is>
      </c>
      <c r="C61" t="inlineStr">
        <is>
          <t>Calha do prédio G-39 transbordando em dia de chuva.</t>
        </is>
      </c>
      <c r="D61" t="inlineStr">
        <is>
          <t>Subestação Oeste</t>
        </is>
      </c>
      <c r="E61" t="inlineStr">
        <is>
          <t>Alta</t>
        </is>
      </c>
      <c r="F61" t="inlineStr">
        <is>
          <t>Priscila Guedes</t>
        </is>
      </c>
      <c r="G61" t="inlineStr">
        <is>
          <t>Fechada</t>
        </is>
      </c>
      <c r="H61" s="5" t="n">
        <v>46045.5846514508</v>
      </c>
      <c r="I6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61">
        <f>IF(AND(Ocorrencias[[#This Row],[Status]]&lt;&gt;"Fechada",TODAY()&gt;Ocorrencias[[#This Row],[Prazo]]),"SIM","")</f>
        <v/>
      </c>
      <c r="K61">
        <f>IFERROR(VLOOKUP(Ocorrencias[[#This Row],[Local]],Unidades!A:B,2,FALSE),"")</f>
        <v/>
      </c>
      <c r="L61" s="7">
        <f>IF(Ocorrencias[[#This Row],[Status]]="Fechada","",TODAY()-Ocorrencias[[#This Row],[DataAbertura]])</f>
        <v/>
      </c>
    </row>
    <row r="62">
      <c r="A62" t="inlineStr">
        <is>
          <t>OS-2725</t>
        </is>
      </c>
      <c r="B62" t="inlineStr">
        <is>
          <t>Lâmpada queimada na área M-30</t>
        </is>
      </c>
      <c r="C62" t="inlineStr">
        <is>
          <t>Iluminação da área M-30 sem funcionar. Reposição de lâmpada e conferência do reator.</t>
        </is>
      </c>
      <c r="D62" t="inlineStr">
        <is>
          <t>Estação de Bombeamento Três Pontes</t>
        </is>
      </c>
      <c r="E62" t="inlineStr">
        <is>
          <t>Baixa</t>
        </is>
      </c>
      <c r="F62" t="inlineStr">
        <is>
          <t>Murilo Paiva</t>
        </is>
      </c>
      <c r="G62" t="inlineStr">
        <is>
          <t>Aberta</t>
        </is>
      </c>
      <c r="H62" s="5" t="n">
        <v>46046.35049982306</v>
      </c>
      <c r="I6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62">
        <f>IF(AND(Ocorrencias[[#This Row],[Status]]&lt;&gt;"Fechada",TODAY()&gt;Ocorrencias[[#This Row],[Prazo]]),"SIM","")</f>
        <v/>
      </c>
      <c r="K62">
        <f>IFERROR(VLOOKUP(Ocorrencias[[#This Row],[Local]],Unidades!A:B,2,FALSE),"")</f>
        <v/>
      </c>
      <c r="L62" s="7">
        <f>IF(Ocorrencias[[#This Row],[Status]]="Fechada","",TODAY()-Ocorrencias[[#This Row],[DataAbertura]])</f>
        <v/>
      </c>
    </row>
    <row r="63">
      <c r="A63" t="inlineStr">
        <is>
          <t>OS-2726</t>
        </is>
      </c>
      <c r="B63" t="inlineStr">
        <is>
          <t>Vazamento de óleo no redutor D-06</t>
        </is>
      </c>
      <c r="C63" t="inlineStr">
        <is>
          <t>Gotejamento de óleo no redutor D-06. Nível ainda dentro da faixa.</t>
        </is>
      </c>
      <c r="D63" t="inlineStr">
        <is>
          <t>Reservatório Industrial</t>
        </is>
      </c>
      <c r="E63" t="inlineStr">
        <is>
          <t>Crítica</t>
        </is>
      </c>
      <c r="F63" t="inlineStr">
        <is>
          <t>Eduardo Salles</t>
        </is>
      </c>
      <c r="G63" t="inlineStr">
        <is>
          <t>Fechada</t>
        </is>
      </c>
      <c r="H63" s="5" t="n">
        <v>46047.18440375087</v>
      </c>
      <c r="I6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63">
        <f>IF(AND(Ocorrencias[[#This Row],[Status]]&lt;&gt;"Fechada",TODAY()&gt;Ocorrencias[[#This Row],[Prazo]]),"SIM","")</f>
        <v/>
      </c>
      <c r="K63">
        <f>IFERROR(VLOOKUP(Ocorrencias[[#This Row],[Local]],Unidades!A:B,2,FALSE),"")</f>
        <v/>
      </c>
      <c r="L63" s="7">
        <f>IF(Ocorrencias[[#This Row],[Status]]="Fechada","",TODAY()-Ocorrencias[[#This Row],[DataAbertura]])</f>
        <v/>
      </c>
    </row>
    <row r="64">
      <c r="A64" t="inlineStr">
        <is>
          <t>OS-2727</t>
        </is>
      </c>
      <c r="B64" t="inlineStr">
        <is>
          <t>Bomba dosadora M-04 sem recalque</t>
        </is>
      </c>
      <c r="C64" t="inlineStr">
        <is>
          <t>Bomba dosadora M-04 liga mas não dosa. Mangueira sem obstrução aparente.</t>
        </is>
      </c>
      <c r="D64" t="inlineStr">
        <is>
          <t>Estação Elevatória Leste</t>
        </is>
      </c>
      <c r="E64" t="inlineStr">
        <is>
          <t>Média</t>
        </is>
      </c>
      <c r="F64" t="inlineStr">
        <is>
          <t>Gabriel Matos</t>
        </is>
      </c>
      <c r="G64" t="inlineStr">
        <is>
          <t>Fechada</t>
        </is>
      </c>
      <c r="H64" s="5" t="n">
        <v>46047.96344656757</v>
      </c>
      <c r="I6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64">
        <f>IF(AND(Ocorrencias[[#This Row],[Status]]&lt;&gt;"Fechada",TODAY()&gt;Ocorrencias[[#This Row],[Prazo]]),"SIM","")</f>
        <v/>
      </c>
      <c r="K64">
        <f>IFERROR(VLOOKUP(Ocorrencias[[#This Row],[Local]],Unidades!A:B,2,FALSE),"")</f>
        <v/>
      </c>
      <c r="L64" s="7">
        <f>IF(Ocorrencias[[#This Row],[Status]]="Fechada","",TODAY()-Ocorrencias[[#This Row],[DataAbertura]])</f>
        <v/>
      </c>
    </row>
    <row r="65">
      <c r="A65" t="inlineStr">
        <is>
          <t>OS-2728</t>
        </is>
      </c>
      <c r="B65" t="inlineStr">
        <is>
          <t>Ruído anormal no motor H-12</t>
        </is>
      </c>
      <c r="C65" t="inlineStr">
        <is>
          <t>Ruído intermitente no motor H-12 durante a partida. Temperatura normal ao toque.</t>
        </is>
      </c>
      <c r="D65" t="inlineStr">
        <is>
          <t>Subestação Leste</t>
        </is>
      </c>
      <c r="E65" t="inlineStr">
        <is>
          <t>Média</t>
        </is>
      </c>
      <c r="F65" t="inlineStr">
        <is>
          <t>Lívia Montenegro</t>
        </is>
      </c>
      <c r="G65" t="inlineStr">
        <is>
          <t>Fechada</t>
        </is>
      </c>
      <c r="H65" s="5" t="n">
        <v>46048.74179493983</v>
      </c>
      <c r="I6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65">
        <f>IF(AND(Ocorrencias[[#This Row],[Status]]&lt;&gt;"Fechada",TODAY()&gt;Ocorrencias[[#This Row],[Prazo]]),"SIM","")</f>
        <v/>
      </c>
      <c r="K65">
        <f>IFERROR(VLOOKUP(Ocorrencias[[#This Row],[Local]],Unidades!A:B,2,FALSE),"")</f>
        <v/>
      </c>
      <c r="L65" s="7">
        <f>IF(Ocorrencias[[#This Row],[Status]]="Fechada","",TODAY()-Ocorrencias[[#This Row],[DataAbertura]])</f>
        <v/>
      </c>
    </row>
    <row r="66">
      <c r="A66" t="inlineStr">
        <is>
          <t>OS-2729</t>
        </is>
      </c>
      <c r="B66" t="inlineStr">
        <is>
          <t>Tomada sem energia na sala E-28</t>
        </is>
      </c>
      <c r="C66" t="inlineStr">
        <is>
          <t>Tomada de serviço da sala E-28 sem tensão.</t>
        </is>
      </c>
      <c r="D66" t="inlineStr">
        <is>
          <t>Booster Parque das Águas</t>
        </is>
      </c>
      <c r="E66" t="inlineStr">
        <is>
          <t>Alta</t>
        </is>
      </c>
      <c r="F66" t="inlineStr">
        <is>
          <t>Alex Nogueira</t>
        </is>
      </c>
      <c r="G66" t="inlineStr">
        <is>
          <t>Fechada</t>
        </is>
      </c>
      <c r="H66" s="5" t="n">
        <v>46049.56667108986</v>
      </c>
      <c r="I6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66">
        <f>IF(AND(Ocorrencias[[#This Row],[Status]]&lt;&gt;"Fechada",TODAY()&gt;Ocorrencias[[#This Row],[Prazo]]),"SIM","")</f>
        <v/>
      </c>
      <c r="K66">
        <f>IFERROR(VLOOKUP(Ocorrencias[[#This Row],[Local]],Unidades!A:B,2,FALSE),"")</f>
        <v/>
      </c>
      <c r="L66" s="7">
        <f>IF(Ocorrencias[[#This Row],[Status]]="Fechada","",TODAY()-Ocorrencias[[#This Row],[DataAbertura]])</f>
        <v/>
      </c>
    </row>
    <row r="67">
      <c r="A67" t="inlineStr">
        <is>
          <t>OS-2730</t>
        </is>
      </c>
      <c r="B67" t="inlineStr">
        <is>
          <t>Lâmpada queimada na área R-39</t>
        </is>
      </c>
      <c r="C67" t="inlineStr">
        <is>
          <t>Iluminação da área R-39 sem funcionar. Reposição de lâmpada e conferência do reator.</t>
        </is>
      </c>
      <c r="D67" t="inlineStr">
        <is>
          <t>ETE Rio Claro</t>
        </is>
      </c>
      <c r="E67" t="inlineStr">
        <is>
          <t>Baixa</t>
        </is>
      </c>
      <c r="F67" t="inlineStr">
        <is>
          <t>Danilo Peixoto</t>
        </is>
      </c>
      <c r="G67" t="inlineStr">
        <is>
          <t>Fechada</t>
        </is>
      </c>
      <c r="H67" s="5" t="n">
        <v>46050.33460279545</v>
      </c>
      <c r="I6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67">
        <f>IF(AND(Ocorrencias[[#This Row],[Status]]&lt;&gt;"Fechada",TODAY()&gt;Ocorrencias[[#This Row],[Prazo]]),"SIM","")</f>
        <v/>
      </c>
      <c r="K67">
        <f>IFERROR(VLOOKUP(Ocorrencias[[#This Row],[Local]],Unidades!A:B,2,FALSE),"")</f>
        <v/>
      </c>
      <c r="L67" s="7">
        <f>IF(Ocorrencias[[#This Row],[Status]]="Fechada","",TODAY()-Ocorrencias[[#This Row],[DataAbertura]])</f>
        <v/>
      </c>
    </row>
    <row r="68">
      <c r="A68" t="inlineStr">
        <is>
          <t>OS-2731</t>
        </is>
      </c>
      <c r="B68" t="inlineStr">
        <is>
          <t>Disjuntor desarmando no painel V-15</t>
        </is>
      </c>
      <c r="C68" t="inlineStr">
        <is>
          <t>Disjuntor do painel V-15 desarmou três vezes no turno. Carga dentro do nominal.</t>
        </is>
      </c>
      <c r="D68" t="inlineStr">
        <is>
          <t>Pátio de Veículos</t>
        </is>
      </c>
      <c r="E68" t="inlineStr">
        <is>
          <t>Média</t>
        </is>
      </c>
      <c r="F68" t="inlineStr">
        <is>
          <t>Cíntia Freitas</t>
        </is>
      </c>
      <c r="G68" t="inlineStr">
        <is>
          <t>Fechada</t>
        </is>
      </c>
      <c r="H68" s="5" t="n">
        <v>46051.16017338993</v>
      </c>
      <c r="I6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68">
        <f>IF(AND(Ocorrencias[[#This Row],[Status]]&lt;&gt;"Fechada",TODAY()&gt;Ocorrencias[[#This Row],[Prazo]]),"SIM","")</f>
        <v/>
      </c>
      <c r="K68">
        <f>IFERROR(VLOOKUP(Ocorrencias[[#This Row],[Local]],Unidades!A:B,2,FALSE),"")</f>
        <v/>
      </c>
      <c r="L68" s="7">
        <f>IF(Ocorrencias[[#This Row],[Status]]="Fechada","",TODAY()-Ocorrencias[[#This Row],[DataAbertura]])</f>
        <v/>
      </c>
    </row>
    <row r="69">
      <c r="A69" t="inlineStr">
        <is>
          <t>OS-2732</t>
        </is>
      </c>
      <c r="B69" t="inlineStr">
        <is>
          <t>Aquecimento no mancal do motor R-40</t>
        </is>
      </c>
      <c r="C69" t="inlineStr">
        <is>
          <t>Mancal do motor R-40 acima da temperatura usual na medição com termômetro infravermelho.</t>
        </is>
      </c>
      <c r="D69" t="inlineStr">
        <is>
          <t>Reservatório Alto da Colina</t>
        </is>
      </c>
      <c r="E69" t="inlineStr">
        <is>
          <t>Alta</t>
        </is>
      </c>
      <c r="F69" t="inlineStr">
        <is>
          <t>Úrsula Maia</t>
        </is>
      </c>
      <c r="G69" t="inlineStr">
        <is>
          <t>Fechada</t>
        </is>
      </c>
      <c r="H69" s="5" t="n">
        <v>46051.96352176219</v>
      </c>
      <c r="I6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69">
        <f>IF(AND(Ocorrencias[[#This Row],[Status]]&lt;&gt;"Fechada",TODAY()&gt;Ocorrencias[[#This Row],[Prazo]]),"SIM","")</f>
        <v/>
      </c>
      <c r="K69">
        <f>IFERROR(VLOOKUP(Ocorrencias[[#This Row],[Local]],Unidades!A:B,2,FALSE),"")</f>
        <v/>
      </c>
      <c r="L69" s="7">
        <f>IF(Ocorrencias[[#This Row],[Status]]="Fechada","",TODAY()-Ocorrencias[[#This Row],[DataAbertura]])</f>
        <v/>
      </c>
    </row>
    <row r="70">
      <c r="A70" t="inlineStr">
        <is>
          <t>OS-2733</t>
        </is>
      </c>
      <c r="B70" t="inlineStr">
        <is>
          <t>Infiltração na parede da casa de bombas V-39</t>
        </is>
      </c>
      <c r="C70" t="inlineStr">
        <is>
          <t>Mancha de umidade crescente na parede da casa de bombas V-39.</t>
        </is>
      </c>
      <c r="D70" t="inlineStr">
        <is>
          <t>Adutora Tronco Norte</t>
        </is>
      </c>
      <c r="E70" t="inlineStr">
        <is>
          <t>Média</t>
        </is>
      </c>
      <c r="F70" t="inlineStr">
        <is>
          <t>Rafael Torres</t>
        </is>
      </c>
      <c r="G70" t="inlineStr">
        <is>
          <t>Fechada</t>
        </is>
      </c>
      <c r="H70" s="5" t="n">
        <v>46052.75575902333</v>
      </c>
      <c r="I7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70">
        <f>IF(AND(Ocorrencias[[#This Row],[Status]]&lt;&gt;"Fechada",TODAY()&gt;Ocorrencias[[#This Row],[Prazo]]),"SIM","")</f>
        <v/>
      </c>
      <c r="K70">
        <f>IFERROR(VLOOKUP(Ocorrencias[[#This Row],[Local]],Unidades!A:B,2,FALSE),"")</f>
        <v/>
      </c>
      <c r="L70" s="7">
        <f>IF(Ocorrencias[[#This Row],[Status]]="Fechada","",TODAY()-Ocorrencias[[#This Row],[DataAbertura]])</f>
        <v/>
      </c>
    </row>
    <row r="71">
      <c r="A71" t="inlineStr">
        <is>
          <t>OS-2734</t>
        </is>
      </c>
      <c r="B71" t="inlineStr">
        <is>
          <t>Ruído anormal no motor P-40</t>
        </is>
      </c>
      <c r="C71" t="inlineStr">
        <is>
          <t>Ruído intermitente no motor P-40 durante a partida. Temperatura normal ao toque.</t>
        </is>
      </c>
      <c r="D71" t="inlineStr">
        <is>
          <t>Reservatório Industrial</t>
        </is>
      </c>
      <c r="E71" t="inlineStr">
        <is>
          <t>Alta</t>
        </is>
      </c>
      <c r="F71" t="inlineStr">
        <is>
          <t>Cíntia Freitas</t>
        </is>
      </c>
      <c r="G71" t="inlineStr">
        <is>
          <t>Fechada</t>
        </is>
      </c>
      <c r="H71" s="5" t="n">
        <v>46053.50285739559</v>
      </c>
      <c r="I7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71">
        <f>IF(AND(Ocorrencias[[#This Row],[Status]]&lt;&gt;"Fechada",TODAY()&gt;Ocorrencias[[#This Row],[Prazo]]),"SIM","")</f>
        <v/>
      </c>
      <c r="K71">
        <f>IFERROR(VLOOKUP(Ocorrencias[[#This Row],[Local]],Unidades!A:B,2,FALSE),"")</f>
        <v/>
      </c>
      <c r="L71" s="7">
        <f>IF(Ocorrencias[[#This Row],[Status]]="Fechada","",TODAY()-Ocorrencias[[#This Row],[DataAbertura]])</f>
        <v/>
      </c>
    </row>
    <row r="72">
      <c r="A72" t="inlineStr">
        <is>
          <t>OS-2735</t>
        </is>
      </c>
      <c r="B72" t="inlineStr">
        <is>
          <t>Portão da área E-38 emperrado</t>
        </is>
      </c>
      <c r="C72" t="inlineStr">
        <is>
          <t>Portão de acesso da área E-38 exige força excessiva para abrir.</t>
        </is>
      </c>
      <c r="D72" t="inlineStr">
        <is>
          <t>Estação Elevatória Oeste</t>
        </is>
      </c>
      <c r="E72" t="inlineStr">
        <is>
          <t>Média</t>
        </is>
      </c>
      <c r="F72" t="inlineStr">
        <is>
          <t>Jonas Teles</t>
        </is>
      </c>
      <c r="G72" t="inlineStr">
        <is>
          <t>Fechada</t>
        </is>
      </c>
      <c r="H72" s="5" t="n">
        <v>46054.29440021229</v>
      </c>
      <c r="I7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72">
        <f>IF(AND(Ocorrencias[[#This Row],[Status]]&lt;&gt;"Fechada",TODAY()&gt;Ocorrencias[[#This Row],[Prazo]]),"SIM","")</f>
        <v/>
      </c>
      <c r="K72">
        <f>IFERROR(VLOOKUP(Ocorrencias[[#This Row],[Local]],Unidades!A:B,2,FALSE),"")</f>
        <v/>
      </c>
      <c r="L72" s="7">
        <f>IF(Ocorrencias[[#This Row],[Status]]="Fechada","",TODAY()-Ocorrencias[[#This Row],[DataAbertura]])</f>
        <v/>
      </c>
    </row>
    <row r="73">
      <c r="A73" t="inlineStr">
        <is>
          <t>OS-2736</t>
        </is>
      </c>
      <c r="B73" t="inlineStr">
        <is>
          <t>Medidor de vazão F-20 com leitura instável</t>
        </is>
      </c>
      <c r="C73" t="inlineStr">
        <is>
          <t>Medidor de vazão F-20 oscila sem variação de processo.</t>
        </is>
      </c>
      <c r="D73" t="inlineStr">
        <is>
          <t>Oficina Elétrica Central</t>
        </is>
      </c>
      <c r="E73" t="inlineStr">
        <is>
          <t>Alta</t>
        </is>
      </c>
      <c r="G73" t="inlineStr">
        <is>
          <t>Aberta</t>
        </is>
      </c>
      <c r="H73" s="5" t="n">
        <v>46055.10122080677</v>
      </c>
      <c r="I7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73">
        <f>IF(AND(Ocorrencias[[#This Row],[Status]]&lt;&gt;"Fechada",TODAY()&gt;Ocorrencias[[#This Row],[Prazo]]),"SIM","")</f>
        <v/>
      </c>
      <c r="K73">
        <f>IFERROR(VLOOKUP(Ocorrencias[[#This Row],[Local]],Unidades!A:B,2,FALSE),"")</f>
        <v/>
      </c>
      <c r="L73" s="7">
        <f>IF(Ocorrencias[[#This Row],[Status]]="Fechada","",TODAY()-Ocorrencias[[#This Row],[DataAbertura]])</f>
        <v/>
      </c>
    </row>
    <row r="74">
      <c r="A74" t="inlineStr">
        <is>
          <t>OS-2737</t>
        </is>
      </c>
      <c r="B74" t="inlineStr">
        <is>
          <t>Válvula R-39 não fecha por completo</t>
        </is>
      </c>
      <c r="C74" t="inlineStr">
        <is>
          <t>Válvula R-39 com passagem residual mesmo totalmente fechada. Possível desgaste da sede.</t>
        </is>
      </c>
      <c r="D74" t="inlineStr">
        <is>
          <t>Estação Elevatória Leste</t>
        </is>
      </c>
      <c r="E74" t="inlineStr">
        <is>
          <t>Média</t>
        </is>
      </c>
      <c r="F74" t="inlineStr">
        <is>
          <t>Heloísa Barreto</t>
        </is>
      </c>
      <c r="G74" t="inlineStr">
        <is>
          <t>Fechada</t>
        </is>
      </c>
      <c r="H74" s="5" t="n">
        <v>46055.92818029014</v>
      </c>
      <c r="I7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74">
        <f>IF(AND(Ocorrencias[[#This Row],[Status]]&lt;&gt;"Fechada",TODAY()&gt;Ocorrencias[[#This Row],[Prazo]]),"SIM","")</f>
        <v/>
      </c>
      <c r="K74">
        <f>IFERROR(VLOOKUP(Ocorrencias[[#This Row],[Local]],Unidades!A:B,2,FALSE),"")</f>
        <v/>
      </c>
      <c r="L74" s="7">
        <f>IF(Ocorrencias[[#This Row],[Status]]="Fechada","",TODAY()-Ocorrencias[[#This Row],[DataAbertura]])</f>
        <v/>
      </c>
    </row>
    <row r="75">
      <c r="A75" t="inlineStr">
        <is>
          <t>OS-2738</t>
        </is>
      </c>
      <c r="B75" t="inlineStr">
        <is>
          <t>Troca de filtro do compressor H-28</t>
        </is>
      </c>
      <c r="C75" t="inlineStr">
        <is>
          <t>Filtro de ar do compressor H-28 saturado. Substituição preventiva.</t>
        </is>
      </c>
      <c r="D75" t="inlineStr">
        <is>
          <t>Almoxarifado Central</t>
        </is>
      </c>
      <c r="E75" t="inlineStr">
        <is>
          <t>Média</t>
        </is>
      </c>
      <c r="F75" t="inlineStr">
        <is>
          <t>Gabriel Matos</t>
        </is>
      </c>
      <c r="G75" t="inlineStr">
        <is>
          <t>Fechada</t>
        </is>
      </c>
      <c r="H75" s="5" t="n"/>
      <c r="I7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75">
        <f>IF(AND(Ocorrencias[[#This Row],[Status]]&lt;&gt;"Fechada",TODAY()&gt;Ocorrencias[[#This Row],[Prazo]]),"SIM","")</f>
        <v/>
      </c>
      <c r="K75">
        <f>IFERROR(VLOOKUP(Ocorrencias[[#This Row],[Local]],Unidades!A:B,2,FALSE),"")</f>
        <v/>
      </c>
      <c r="L75" s="7">
        <f>IF(Ocorrencias[[#This Row],[Status]]="Fechada","",TODAY()-Ocorrencias[[#This Row],[DataAbertura]])</f>
        <v/>
      </c>
    </row>
    <row r="76">
      <c r="A76" t="inlineStr">
        <is>
          <t>OS-2739</t>
        </is>
      </c>
      <c r="B76" t="inlineStr">
        <is>
          <t>Falha de comunicação no CLP H-29</t>
        </is>
      </c>
      <c r="C76" t="inlineStr">
        <is>
          <t>CLP H-29 perde comunicação com o supervisório em intervalos irregulares.</t>
        </is>
      </c>
      <c r="D76" t="inlineStr">
        <is>
          <t>Oficina Mecânica Central</t>
        </is>
      </c>
      <c r="E76" t="inlineStr">
        <is>
          <t>Média</t>
        </is>
      </c>
      <c r="F76" t="inlineStr">
        <is>
          <t>Yara Medeiros</t>
        </is>
      </c>
      <c r="G76" t="inlineStr">
        <is>
          <t>Fechada</t>
        </is>
      </c>
      <c r="H76" s="5" t="n">
        <v>46057.4855714791</v>
      </c>
      <c r="I7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76">
        <f>IF(AND(Ocorrencias[[#This Row],[Status]]&lt;&gt;"Fechada",TODAY()&gt;Ocorrencias[[#This Row],[Prazo]]),"SIM","")</f>
        <v/>
      </c>
      <c r="K76">
        <f>IFERROR(VLOOKUP(Ocorrencias[[#This Row],[Local]],Unidades!A:B,2,FALSE),"")</f>
        <v/>
      </c>
      <c r="L76" s="7">
        <f>IF(Ocorrencias[[#This Row],[Status]]="Fechada","",TODAY()-Ocorrencias[[#This Row],[DataAbertura]])</f>
        <v/>
      </c>
    </row>
    <row r="77">
      <c r="A77" t="inlineStr">
        <is>
          <t>OS-2740</t>
        </is>
      </c>
      <c r="B77" t="inlineStr">
        <is>
          <t>Vazamento na bomba G-25</t>
        </is>
      </c>
      <c r="C77" t="inlineStr">
        <is>
          <t>Vazamento pelo selo mecânico da bomba G-25. Piso molhado ao redor da base.</t>
        </is>
      </c>
      <c r="D77" t="inlineStr">
        <is>
          <t xml:space="preserve">ETA Central </t>
        </is>
      </c>
      <c r="E77" t="inlineStr">
        <is>
          <t>Baixa</t>
        </is>
      </c>
      <c r="F77" t="inlineStr">
        <is>
          <t>Glória Sampaio</t>
        </is>
      </c>
      <c r="G77" t="inlineStr">
        <is>
          <t>Fechada</t>
        </is>
      </c>
      <c r="H77" s="5" t="n">
        <v>46058.2646142958</v>
      </c>
      <c r="I7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77">
        <f>IF(AND(Ocorrencias[[#This Row],[Status]]&lt;&gt;"Fechada",TODAY()&gt;Ocorrencias[[#This Row],[Prazo]]),"SIM","")</f>
        <v/>
      </c>
      <c r="K77">
        <f>IFERROR(VLOOKUP(Ocorrencias[[#This Row],[Local]],Unidades!A:B,2,FALSE),"")</f>
        <v/>
      </c>
      <c r="L77" s="7">
        <f>IF(Ocorrencias[[#This Row],[Status]]="Fechada","",TODAY()-Ocorrencias[[#This Row],[DataAbertura]])</f>
        <v/>
      </c>
    </row>
    <row r="78">
      <c r="A78" t="inlineStr">
        <is>
          <t>OS-2741</t>
        </is>
      </c>
      <c r="B78" t="inlineStr">
        <is>
          <t>Vazamento na bomba G-27</t>
        </is>
      </c>
      <c r="C78" t="inlineStr">
        <is>
          <t>Vazamento pelo selo mecânico da bomba G-27. Piso molhado ao redor da base.</t>
        </is>
      </c>
      <c r="D78" t="inlineStr">
        <is>
          <t>Oficina Elétrica Central</t>
        </is>
      </c>
      <c r="E78" t="inlineStr">
        <is>
          <t>Média</t>
        </is>
      </c>
      <c r="F78" t="inlineStr">
        <is>
          <t>Thiago Bastos</t>
        </is>
      </c>
      <c r="G78" t="inlineStr">
        <is>
          <t>Fechada</t>
        </is>
      </c>
      <c r="H78" s="5" t="n">
        <v>46059.10407377917</v>
      </c>
      <c r="I7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78">
        <f>IF(AND(Ocorrencias[[#This Row],[Status]]&lt;&gt;"Fechada",TODAY()&gt;Ocorrencias[[#This Row],[Prazo]]),"SIM","")</f>
        <v/>
      </c>
      <c r="K78">
        <f>IFERROR(VLOOKUP(Ocorrencias[[#This Row],[Local]],Unidades!A:B,2,FALSE),"")</f>
        <v/>
      </c>
      <c r="L78" s="7">
        <f>IF(Ocorrencias[[#This Row],[Status]]="Fechada","",TODAY()-Ocorrencias[[#This Row],[DataAbertura]])</f>
        <v/>
      </c>
    </row>
    <row r="79">
      <c r="A79" t="inlineStr">
        <is>
          <t>OS-2742</t>
        </is>
      </c>
      <c r="B79" t="inlineStr">
        <is>
          <t>Pintura descascada na estrutura P-04</t>
        </is>
      </c>
      <c r="C79" t="inlineStr">
        <is>
          <t>Estrutura metálica P-04 com pontos de corrosão sob a pintura.</t>
        </is>
      </c>
      <c r="D79" t="inlineStr">
        <is>
          <t>Estação Elevatória Leste</t>
        </is>
      </c>
      <c r="E79" t="inlineStr">
        <is>
          <t>Alta</t>
        </is>
      </c>
      <c r="F79" t="inlineStr">
        <is>
          <t>Rafael Torres</t>
        </is>
      </c>
      <c r="G79" t="inlineStr">
        <is>
          <t>Fechada</t>
        </is>
      </c>
      <c r="H79" s="5" t="n">
        <v>46059.8976999292</v>
      </c>
      <c r="I7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79">
        <f>IF(AND(Ocorrencias[[#This Row],[Status]]&lt;&gt;"Fechada",TODAY()&gt;Ocorrencias[[#This Row],[Prazo]]),"SIM","")</f>
        <v/>
      </c>
      <c r="K79">
        <f>IFERROR(VLOOKUP(Ocorrencias[[#This Row],[Local]],Unidades!A:B,2,FALSE),"")</f>
        <v/>
      </c>
      <c r="L79" s="7">
        <f>IF(Ocorrencias[[#This Row],[Status]]="Fechada","",TODAY()-Ocorrencias[[#This Row],[DataAbertura]])</f>
        <v/>
      </c>
    </row>
    <row r="80">
      <c r="A80" t="inlineStr">
        <is>
          <t>OS-2743</t>
        </is>
      </c>
      <c r="B80" t="inlineStr">
        <is>
          <t>Correia do ventilador F-17 desgastada</t>
        </is>
      </c>
      <c r="C80" t="inlineStr">
        <is>
          <t>Correia do ventilador F-17 com trincas visíveis e folga excessiva.</t>
        </is>
      </c>
      <c r="D80" t="inlineStr">
        <is>
          <t>ETE Vale do Sol</t>
        </is>
      </c>
      <c r="E80" t="inlineStr">
        <is>
          <t>Crítica</t>
        </is>
      </c>
      <c r="F80" t="inlineStr">
        <is>
          <t>Eduardo Salles</t>
        </is>
      </c>
      <c r="G80" t="inlineStr">
        <is>
          <t>Fechada</t>
        </is>
      </c>
      <c r="H80" s="5" t="n">
        <v>46060.6579927459</v>
      </c>
      <c r="I8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80">
        <f>IF(AND(Ocorrencias[[#This Row],[Status]]&lt;&gt;"Fechada",TODAY()&gt;Ocorrencias[[#This Row],[Prazo]]),"SIM","")</f>
        <v/>
      </c>
      <c r="K80">
        <f>IFERROR(VLOOKUP(Ocorrencias[[#This Row],[Local]],Unidades!A:B,2,FALSE),"")</f>
        <v/>
      </c>
      <c r="L80" s="7">
        <f>IF(Ocorrencias[[#This Row],[Status]]="Fechada","",TODAY()-Ocorrencias[[#This Row],[DataAbertura]])</f>
        <v/>
      </c>
    </row>
    <row r="81">
      <c r="A81" t="inlineStr">
        <is>
          <t>OS-2744</t>
        </is>
      </c>
      <c r="B81" t="inlineStr">
        <is>
          <t>Infiltração na parede da casa de bombas D-04</t>
        </is>
      </c>
      <c r="C81" t="inlineStr">
        <is>
          <t>Mancha de umidade crescente na parede da casa de bombas D-04.</t>
        </is>
      </c>
      <c r="D81" t="inlineStr">
        <is>
          <t>Booster Morada do Sol</t>
        </is>
      </c>
      <c r="E81" t="inlineStr">
        <is>
          <t>Baixa</t>
        </is>
      </c>
      <c r="F81" t="inlineStr">
        <is>
          <t>Lívia Montenegro</t>
        </is>
      </c>
      <c r="G81" t="inlineStr">
        <is>
          <t>Fechada</t>
        </is>
      </c>
      <c r="H81" s="5" t="n">
        <v>46061.45648000705</v>
      </c>
      <c r="I8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81">
        <f>IF(AND(Ocorrencias[[#This Row],[Status]]&lt;&gt;"Fechada",TODAY()&gt;Ocorrencias[[#This Row],[Prazo]]),"SIM","")</f>
        <v/>
      </c>
      <c r="K81">
        <f>IFERROR(VLOOKUP(Ocorrencias[[#This Row],[Local]],Unidades!A:B,2,FALSE),"")</f>
        <v/>
      </c>
      <c r="L81" s="7">
        <f>IF(Ocorrencias[[#This Row],[Status]]="Fechada","",TODAY()-Ocorrencias[[#This Row],[DataAbertura]])</f>
        <v/>
      </c>
    </row>
    <row r="82">
      <c r="A82" t="inlineStr">
        <is>
          <t>OS-2745</t>
        </is>
      </c>
      <c r="B82" t="inlineStr">
        <is>
          <t>Bomba dosadora C-40 sem recalque</t>
        </is>
      </c>
      <c r="C82" t="inlineStr">
        <is>
          <t>Bomba dosadora C-40 liga mas não dosa. Mangueira sem obstrução aparente.</t>
        </is>
      </c>
      <c r="D82" t="inlineStr">
        <is>
          <t>Almoxarifado Central</t>
        </is>
      </c>
      <c r="E82" t="inlineStr">
        <is>
          <t>Média</t>
        </is>
      </c>
      <c r="F82" t="inlineStr">
        <is>
          <t>Daniela Pires</t>
        </is>
      </c>
      <c r="G82" t="inlineStr">
        <is>
          <t>Fechada</t>
        </is>
      </c>
      <c r="H82" s="5" t="n">
        <v>46062.2723283793</v>
      </c>
      <c r="I8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82">
        <f>IF(AND(Ocorrencias[[#This Row],[Status]]&lt;&gt;"Fechada",TODAY()&gt;Ocorrencias[[#This Row],[Prazo]]),"SIM","")</f>
        <v/>
      </c>
      <c r="K82">
        <f>IFERROR(VLOOKUP(Ocorrencias[[#This Row],[Local]],Unidades!A:B,2,FALSE),"")</f>
        <v/>
      </c>
      <c r="L82" s="7">
        <f>IF(Ocorrencias[[#This Row],[Status]]="Fechada","",TODAY()-Ocorrencias[[#This Row],[DataAbertura]])</f>
        <v/>
      </c>
    </row>
    <row r="83">
      <c r="A83" t="inlineStr">
        <is>
          <t>OS-2746</t>
        </is>
      </c>
      <c r="B83" t="inlineStr">
        <is>
          <t>Medidor de vazão D-07 com leitura instável</t>
        </is>
      </c>
      <c r="C83" t="inlineStr">
        <is>
          <t>Medidor de vazão D-07 oscila sem variação de processo.</t>
        </is>
      </c>
      <c r="D83" t="inlineStr">
        <is>
          <t>ETE Rio Claro</t>
        </is>
      </c>
      <c r="E83" t="inlineStr">
        <is>
          <t>Baixa</t>
        </is>
      </c>
      <c r="F83" t="inlineStr">
        <is>
          <t>Eduardo Salles</t>
        </is>
      </c>
      <c r="G83" t="inlineStr">
        <is>
          <t>Fechada</t>
        </is>
      </c>
      <c r="H83" s="5" t="n">
        <v>46063.03609341823</v>
      </c>
      <c r="I8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83">
        <f>IF(AND(Ocorrencias[[#This Row],[Status]]&lt;&gt;"Fechada",TODAY()&gt;Ocorrencias[[#This Row],[Prazo]]),"SIM","")</f>
        <v/>
      </c>
      <c r="K83">
        <f>IFERROR(VLOOKUP(Ocorrencias[[#This Row],[Local]],Unidades!A:B,2,FALSE),"")</f>
        <v/>
      </c>
      <c r="L83" s="7">
        <f>IF(Ocorrencias[[#This Row],[Status]]="Fechada","",TODAY()-Ocorrencias[[#This Row],[DataAbertura]])</f>
        <v/>
      </c>
    </row>
    <row r="84">
      <c r="A84" t="inlineStr">
        <is>
          <t>OS-2747</t>
        </is>
      </c>
      <c r="B84" t="inlineStr">
        <is>
          <t>Disjuntor desarmando no painel C-38</t>
        </is>
      </c>
      <c r="C84" t="inlineStr">
        <is>
          <t>Disjuntor do painel C-38 desarmou três vezes no turno. Carga dentro do nominal.</t>
        </is>
      </c>
      <c r="D84" t="inlineStr">
        <is>
          <t>Usina Fotovoltaica Planalto</t>
        </is>
      </c>
      <c r="E84" t="inlineStr">
        <is>
          <t>Baixa</t>
        </is>
      </c>
      <c r="F84" t="inlineStr">
        <is>
          <t>Caio Rangel</t>
        </is>
      </c>
      <c r="G84" t="inlineStr">
        <is>
          <t>Fechada</t>
        </is>
      </c>
      <c r="H84" s="5" t="n">
        <v>46063.83944179049</v>
      </c>
      <c r="I8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84">
        <f>IF(AND(Ocorrencias[[#This Row],[Status]]&lt;&gt;"Fechada",TODAY()&gt;Ocorrencias[[#This Row],[Prazo]]),"SIM","")</f>
        <v/>
      </c>
      <c r="K84">
        <f>IFERROR(VLOOKUP(Ocorrencias[[#This Row],[Local]],Unidades!A:B,2,FALSE),"")</f>
        <v/>
      </c>
      <c r="L84" s="7">
        <f>IF(Ocorrencias[[#This Row],[Status]]="Fechada","",TODAY()-Ocorrencias[[#This Row],[DataAbertura]])</f>
        <v/>
      </c>
    </row>
    <row r="85">
      <c r="A85" t="inlineStr">
        <is>
          <t>OS-2748</t>
        </is>
      </c>
      <c r="B85" t="inlineStr">
        <is>
          <t>Lâmpada queimada na área M-36</t>
        </is>
      </c>
      <c r="C85" t="inlineStr">
        <is>
          <t>Iluminação da área M-36 sem funcionar. Reposição de lâmpada e conferência do reator.</t>
        </is>
      </c>
      <c r="D85" t="inlineStr">
        <is>
          <t>Pátio de Veículos</t>
        </is>
      </c>
      <c r="E85" t="inlineStr">
        <is>
          <t>Baixa</t>
        </is>
      </c>
      <c r="F85" t="inlineStr">
        <is>
          <t>Thiago Bastos</t>
        </is>
      </c>
      <c r="G85" t="inlineStr">
        <is>
          <t>Fechada</t>
        </is>
      </c>
      <c r="H85" s="5" t="n">
        <v>46064.64070682941</v>
      </c>
      <c r="I8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85">
        <f>IF(AND(Ocorrencias[[#This Row],[Status]]&lt;&gt;"Fechada",TODAY()&gt;Ocorrencias[[#This Row],[Prazo]]),"SIM","")</f>
        <v/>
      </c>
      <c r="K85">
        <f>IFERROR(VLOOKUP(Ocorrencias[[#This Row],[Local]],Unidades!A:B,2,FALSE),"")</f>
        <v/>
      </c>
      <c r="L85" s="7">
        <f>IF(Ocorrencias[[#This Row],[Status]]="Fechada","",TODAY()-Ocorrencias[[#This Row],[DataAbertura]])</f>
        <v/>
      </c>
    </row>
    <row r="86">
      <c r="A86" t="inlineStr">
        <is>
          <t>OS-2749</t>
        </is>
      </c>
      <c r="B86" t="inlineStr">
        <is>
          <t>Vazamento de óleo no redutor G-36</t>
        </is>
      </c>
      <c r="C86" t="inlineStr">
        <is>
          <t>Gotejamento de óleo no redutor G-36. Nível ainda dentro da faixa.</t>
        </is>
      </c>
      <c r="D86" t="inlineStr">
        <is>
          <t>Base Operacional Norte</t>
        </is>
      </c>
      <c r="E86" t="inlineStr">
        <is>
          <t>Média</t>
        </is>
      </c>
      <c r="F86" t="inlineStr">
        <is>
          <t>Marcos Vinícius Rocha</t>
        </is>
      </c>
      <c r="G86" t="inlineStr">
        <is>
          <t>Fechada</t>
        </is>
      </c>
      <c r="H86" s="5" t="n">
        <v>46065.44891631278</v>
      </c>
      <c r="I8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86">
        <f>IF(AND(Ocorrencias[[#This Row],[Status]]&lt;&gt;"Fechada",TODAY()&gt;Ocorrencias[[#This Row],[Prazo]]),"SIM","")</f>
        <v/>
      </c>
      <c r="K86">
        <f>IFERROR(VLOOKUP(Ocorrencias[[#This Row],[Local]],Unidades!A:B,2,FALSE),"")</f>
        <v/>
      </c>
      <c r="L86" s="7">
        <f>IF(Ocorrencias[[#This Row],[Status]]="Fechada","",TODAY()-Ocorrencias[[#This Row],[DataAbertura]])</f>
        <v/>
      </c>
    </row>
    <row r="87">
      <c r="A87" t="inlineStr">
        <is>
          <t>OS-2750</t>
        </is>
      </c>
      <c r="B87" t="inlineStr">
        <is>
          <t>Ruído anormal no motor H-20</t>
        </is>
      </c>
      <c r="C87" t="inlineStr">
        <is>
          <t>Ruído intermitente no motor H-20 durante a partida. Temperatura normal ao toque.</t>
        </is>
      </c>
      <c r="D87" t="inlineStr">
        <is>
          <t>Laboratório de Controle</t>
        </is>
      </c>
      <c r="E87" t="inlineStr">
        <is>
          <t>Alta</t>
        </is>
      </c>
      <c r="F87" t="inlineStr">
        <is>
          <t>Lívia Montenegro</t>
        </is>
      </c>
      <c r="G87" t="inlineStr">
        <is>
          <t>Fechada</t>
        </is>
      </c>
      <c r="H87" s="5" t="n">
        <v>46066.22170912948</v>
      </c>
      <c r="I8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87">
        <f>IF(AND(Ocorrencias[[#This Row],[Status]]&lt;&gt;"Fechada",TODAY()&gt;Ocorrencias[[#This Row],[Prazo]]),"SIM","")</f>
        <v/>
      </c>
      <c r="K87">
        <f>IFERROR(VLOOKUP(Ocorrencias[[#This Row],[Local]],Unidades!A:B,2,FALSE),"")</f>
        <v/>
      </c>
      <c r="L87" s="7">
        <f>IF(Ocorrencias[[#This Row],[Status]]="Fechada","",TODAY()-Ocorrencias[[#This Row],[DataAbertura]])</f>
        <v/>
      </c>
    </row>
    <row r="88">
      <c r="A88" t="inlineStr">
        <is>
          <t>OS-2751</t>
        </is>
      </c>
      <c r="B88" t="inlineStr">
        <is>
          <t>Sensor de nível sem leitura no tanque R-26</t>
        </is>
      </c>
      <c r="C88" t="inlineStr">
        <is>
          <t>Supervisório mostra leitura congelada do sensor de nível do tanque R-26.</t>
        </is>
      </c>
      <c r="D88" t="inlineStr">
        <is>
          <t>Subestação Leste</t>
        </is>
      </c>
      <c r="E88" t="inlineStr">
        <is>
          <t>Baixa</t>
        </is>
      </c>
      <c r="F88" t="inlineStr">
        <is>
          <t>Cíntia Freitas</t>
        </is>
      </c>
      <c r="G88" t="inlineStr">
        <is>
          <t>Fechada</t>
        </is>
      </c>
      <c r="H88" s="5" t="n">
        <v>46067.04311305729</v>
      </c>
      <c r="I8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88">
        <f>IF(AND(Ocorrencias[[#This Row],[Status]]&lt;&gt;"Fechada",TODAY()&gt;Ocorrencias[[#This Row],[Prazo]]),"SIM","")</f>
        <v/>
      </c>
      <c r="K88">
        <f>IFERROR(VLOOKUP(Ocorrencias[[#This Row],[Local]],Unidades!A:B,2,FALSE),"")</f>
        <v/>
      </c>
      <c r="L88" s="7">
        <f>IF(Ocorrencias[[#This Row],[Status]]="Fechada","",TODAY()-Ocorrencias[[#This Row],[DataAbertura]])</f>
        <v/>
      </c>
    </row>
    <row r="89">
      <c r="A89" t="inlineStr">
        <is>
          <t>OS-2752</t>
        </is>
      </c>
      <c r="B89" t="inlineStr">
        <is>
          <t>Calha entupida no prédio M-10</t>
        </is>
      </c>
      <c r="C89" t="inlineStr">
        <is>
          <t>Calha do prédio M-10 transbordando em dia de chuva.</t>
        </is>
      </c>
      <c r="D89" t="inlineStr">
        <is>
          <t>Estação Elevatória Leste</t>
        </is>
      </c>
      <c r="E89" t="inlineStr">
        <is>
          <t>Baixa</t>
        </is>
      </c>
      <c r="F89" t="inlineStr">
        <is>
          <t>Gabriel Matos</t>
        </is>
      </c>
      <c r="G89" t="inlineStr">
        <is>
          <t>Fechada</t>
        </is>
      </c>
      <c r="H89" s="5" t="n">
        <v>46067.84160031844</v>
      </c>
      <c r="I8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89">
        <f>IF(AND(Ocorrencias[[#This Row],[Status]]&lt;&gt;"Fechada",TODAY()&gt;Ocorrencias[[#This Row],[Prazo]]),"SIM","")</f>
        <v/>
      </c>
      <c r="K89">
        <f>IFERROR(VLOOKUP(Ocorrencias[[#This Row],[Local]],Unidades!A:B,2,FALSE),"")</f>
        <v/>
      </c>
      <c r="L89" s="7">
        <f>IF(Ocorrencias[[#This Row],[Status]]="Fechada","",TODAY()-Ocorrencias[[#This Row],[DataAbertura]])</f>
        <v/>
      </c>
    </row>
    <row r="90">
      <c r="A90" t="inlineStr">
        <is>
          <t>OS-2753</t>
        </is>
      </c>
      <c r="B90" t="inlineStr">
        <is>
          <t>Lâmpada queimada na área H-13</t>
        </is>
      </c>
      <c r="C90" t="inlineStr">
        <is>
          <t>Iluminação da área H-13 sem funcionar. Reposição de lâmpada e conferência do reator.</t>
        </is>
      </c>
      <c r="D90" t="inlineStr">
        <is>
          <t>Usina Fotovoltaica Planalto</t>
        </is>
      </c>
      <c r="E90" t="inlineStr">
        <is>
          <t>Alta</t>
        </is>
      </c>
      <c r="F90" t="inlineStr">
        <is>
          <t>Jonas Teles</t>
        </is>
      </c>
      <c r="G90" t="inlineStr">
        <is>
          <t>Fechada</t>
        </is>
      </c>
      <c r="H90" s="5" t="n">
        <v>46068.61369869069</v>
      </c>
      <c r="I9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90">
        <f>IF(AND(Ocorrencias[[#This Row],[Status]]&lt;&gt;"Fechada",TODAY()&gt;Ocorrencias[[#This Row],[Prazo]]),"SIM","")</f>
        <v/>
      </c>
      <c r="K90">
        <f>IFERROR(VLOOKUP(Ocorrencias[[#This Row],[Local]],Unidades!A:B,2,FALSE),"")</f>
        <v/>
      </c>
      <c r="L90" s="7">
        <f>IF(Ocorrencias[[#This Row],[Status]]="Fechada","",TODAY()-Ocorrencias[[#This Row],[DataAbertura]])</f>
        <v/>
      </c>
    </row>
    <row r="91">
      <c r="A91" t="inlineStr">
        <is>
          <t>OS-2754</t>
        </is>
      </c>
      <c r="B91" t="inlineStr">
        <is>
          <t>Ar-condicionado da sala D-14 sem refrigerar</t>
        </is>
      </c>
      <c r="C91" t="inlineStr">
        <is>
          <t>Ar-condicionado da sala de painéis D-14 ligado sem refrigerar.</t>
        </is>
      </c>
      <c r="D91" t="inlineStr">
        <is>
          <t>Pátio de Veículos</t>
        </is>
      </c>
      <c r="E91" t="inlineStr">
        <is>
          <t>Média</t>
        </is>
      </c>
      <c r="F91" t="inlineStr">
        <is>
          <t>Thiago Bastos</t>
        </is>
      </c>
      <c r="G91" t="inlineStr">
        <is>
          <t>Fechada</t>
        </is>
      </c>
      <c r="H91" s="5" t="n">
        <v>46069.40246372962</v>
      </c>
      <c r="I9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91">
        <f>IF(AND(Ocorrencias[[#This Row],[Status]]&lt;&gt;"Fechada",TODAY()&gt;Ocorrencias[[#This Row],[Prazo]]),"SIM","")</f>
        <v/>
      </c>
      <c r="K91">
        <f>IFERROR(VLOOKUP(Ocorrencias[[#This Row],[Local]],Unidades!A:B,2,FALSE),"")</f>
        <v/>
      </c>
      <c r="L91" s="7">
        <f>IF(Ocorrencias[[#This Row],[Status]]="Fechada","",TODAY()-Ocorrencias[[#This Row],[DataAbertura]])</f>
        <v/>
      </c>
    </row>
    <row r="92">
      <c r="A92" t="inlineStr">
        <is>
          <t>OS-2755</t>
        </is>
      </c>
      <c r="B92" t="inlineStr">
        <is>
          <t>Vazamento na bomba C-13</t>
        </is>
      </c>
      <c r="C92" t="inlineStr">
        <is>
          <t>Vazamento pelo selo mecânico da bomba C-13. Piso molhado ao redor da base.</t>
        </is>
      </c>
      <c r="D92" t="inlineStr">
        <is>
          <t>Subestação Leste</t>
        </is>
      </c>
      <c r="E92" t="inlineStr">
        <is>
          <t>Média</t>
        </is>
      </c>
      <c r="F92" t="inlineStr">
        <is>
          <t>Bernardo Leal</t>
        </is>
      </c>
      <c r="G92" t="inlineStr">
        <is>
          <t>Fechada</t>
        </is>
      </c>
      <c r="H92" s="5" t="n">
        <v>46070.18567321299</v>
      </c>
      <c r="I9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92">
        <f>IF(AND(Ocorrencias[[#This Row],[Status]]&lt;&gt;"Fechada",TODAY()&gt;Ocorrencias[[#This Row],[Prazo]]),"SIM","")</f>
        <v/>
      </c>
      <c r="K92">
        <f>IFERROR(VLOOKUP(Ocorrencias[[#This Row],[Local]],Unidades!A:B,2,FALSE),"")</f>
        <v/>
      </c>
      <c r="L92" s="7">
        <f>IF(Ocorrencias[[#This Row],[Status]]="Fechada","",TODAY()-Ocorrencias[[#This Row],[DataAbertura]])</f>
        <v/>
      </c>
    </row>
    <row r="93">
      <c r="A93" t="inlineStr">
        <is>
          <t>OS-2756</t>
        </is>
      </c>
      <c r="B93" t="inlineStr">
        <is>
          <t>Aquecimento no mancal do motor A-24</t>
        </is>
      </c>
      <c r="C93" t="inlineStr">
        <is>
          <t>Mancal do motor A-24 acima da temperatura usual na medição com termômetro infravermelho.</t>
        </is>
      </c>
      <c r="D93" t="inlineStr">
        <is>
          <t>Subestação Oeste</t>
        </is>
      </c>
      <c r="E93" t="inlineStr">
        <is>
          <t>Média</t>
        </is>
      </c>
      <c r="F93" t="inlineStr">
        <is>
          <t>Murilo Paiva</t>
        </is>
      </c>
      <c r="G93" t="inlineStr">
        <is>
          <t>Fechada</t>
        </is>
      </c>
      <c r="H93" s="5" t="n">
        <v>46071.00152158524</v>
      </c>
      <c r="I9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93">
        <f>IF(AND(Ocorrencias[[#This Row],[Status]]&lt;&gt;"Fechada",TODAY()&gt;Ocorrencias[[#This Row],[Prazo]]),"SIM","")</f>
        <v/>
      </c>
      <c r="K93">
        <f>IFERROR(VLOOKUP(Ocorrencias[[#This Row],[Local]],Unidades!A:B,2,FALSE),"")</f>
        <v/>
      </c>
      <c r="L93" s="7">
        <f>IF(Ocorrencias[[#This Row],[Status]]="Fechada","",TODAY()-Ocorrencias[[#This Row],[DataAbertura]])</f>
        <v/>
      </c>
    </row>
    <row r="94">
      <c r="A94" t="inlineStr">
        <is>
          <t>OS-2757</t>
        </is>
      </c>
      <c r="B94" t="inlineStr">
        <is>
          <t>Infiltração na parede da casa de bombas E-22</t>
        </is>
      </c>
      <c r="C94" t="inlineStr">
        <is>
          <t>Mancha de umidade crescente na parede da casa de bombas E-22.</t>
        </is>
      </c>
      <c r="D94" t="inlineStr">
        <is>
          <t>Estação Elevatória Leste</t>
        </is>
      </c>
      <c r="E94" t="inlineStr">
        <is>
          <t>Alta</t>
        </is>
      </c>
      <c r="F94" t="inlineStr">
        <is>
          <t>Murilo Paiva</t>
        </is>
      </c>
      <c r="G94" t="inlineStr">
        <is>
          <t>Fechada</t>
        </is>
      </c>
      <c r="H94" s="5" t="n">
        <v>46071.78264773528</v>
      </c>
      <c r="I9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94">
        <f>IF(AND(Ocorrencias[[#This Row],[Status]]&lt;&gt;"Fechada",TODAY()&gt;Ocorrencias[[#This Row],[Prazo]]),"SIM","")</f>
        <v/>
      </c>
      <c r="K94">
        <f>IFERROR(VLOOKUP(Ocorrencias[[#This Row],[Local]],Unidades!A:B,2,FALSE),"")</f>
        <v/>
      </c>
      <c r="L94" s="7">
        <f>IF(Ocorrencias[[#This Row],[Status]]="Fechada","",TODAY()-Ocorrencias[[#This Row],[DataAbertura]])</f>
        <v/>
      </c>
    </row>
    <row r="95">
      <c r="A95" t="inlineStr">
        <is>
          <t>OS-2758</t>
        </is>
      </c>
      <c r="B95" t="inlineStr">
        <is>
          <t>Disjuntor desarmando no painel P-05</t>
        </is>
      </c>
      <c r="C95" t="inlineStr">
        <is>
          <t>Disjuntor do painel P-05 desarmou três vezes no turno. Carga dentro do nominal.</t>
        </is>
      </c>
      <c r="D95" t="inlineStr">
        <is>
          <t>Reservatório Industrial</t>
        </is>
      </c>
      <c r="E95" t="inlineStr">
        <is>
          <t>Média</t>
        </is>
      </c>
      <c r="F95" t="inlineStr">
        <is>
          <t>Yara Medeiros</t>
        </is>
      </c>
      <c r="G95" t="inlineStr">
        <is>
          <t>Fechada</t>
        </is>
      </c>
      <c r="H95" s="5" t="n"/>
      <c r="I9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95">
        <f>IF(AND(Ocorrencias[[#This Row],[Status]]&lt;&gt;"Fechada",TODAY()&gt;Ocorrencias[[#This Row],[Prazo]]),"SIM","")</f>
        <v/>
      </c>
      <c r="K95">
        <f>IFERROR(VLOOKUP(Ocorrencias[[#This Row],[Local]],Unidades!A:B,2,FALSE),"")</f>
        <v/>
      </c>
      <c r="L95" s="7">
        <f>IF(Ocorrencias[[#This Row],[Status]]="Fechada","",TODAY()-Ocorrencias[[#This Row],[DataAbertura]])</f>
        <v/>
      </c>
    </row>
    <row r="96">
      <c r="A96" t="inlineStr">
        <is>
          <t>OS-2759</t>
        </is>
      </c>
      <c r="B96" t="inlineStr">
        <is>
          <t>Lâmpada queimada na área D-10</t>
        </is>
      </c>
      <c r="C96" t="inlineStr">
        <is>
          <t>Iluminação da área D-10 sem funcionar. Reposição de lâmpada e conferência do reator.</t>
        </is>
      </c>
      <c r="D96" t="inlineStr">
        <is>
          <t>ETE Rio Claro</t>
        </is>
      </c>
      <c r="E96" t="inlineStr">
        <is>
          <t>Alta</t>
        </is>
      </c>
      <c r="F96" t="inlineStr">
        <is>
          <t>Heloísa Barreto</t>
        </is>
      </c>
      <c r="G96" t="inlineStr">
        <is>
          <t>Fechada</t>
        </is>
      </c>
      <c r="H96" s="5" t="n">
        <v>46073.38656670201</v>
      </c>
      <c r="I9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96">
        <f>IF(AND(Ocorrencias[[#This Row],[Status]]&lt;&gt;"Fechada",TODAY()&gt;Ocorrencias[[#This Row],[Prazo]]),"SIM","")</f>
        <v/>
      </c>
      <c r="K96">
        <f>IFERROR(VLOOKUP(Ocorrencias[[#This Row],[Local]],Unidades!A:B,2,FALSE),"")</f>
        <v/>
      </c>
      <c r="L96" s="7">
        <f>IF(Ocorrencias[[#This Row],[Status]]="Fechada","",TODAY()-Ocorrencias[[#This Row],[DataAbertura]])</f>
        <v/>
      </c>
    </row>
    <row r="97">
      <c r="A97" t="inlineStr">
        <is>
          <t>OS-2760</t>
        </is>
      </c>
      <c r="B97" t="inlineStr">
        <is>
          <t>Correia do ventilador F-38 desgastada</t>
        </is>
      </c>
      <c r="C97" t="inlineStr">
        <is>
          <t>Correia do ventilador F-38 com trincas visíveis e folga excessiva.</t>
        </is>
      </c>
      <c r="D97" t="inlineStr">
        <is>
          <t>Estação Elevatória Oeste</t>
        </is>
      </c>
      <c r="E97" t="inlineStr">
        <is>
          <t>Média</t>
        </is>
      </c>
      <c r="F97" t="inlineStr">
        <is>
          <t>Marcos Vinícius Rocha</t>
        </is>
      </c>
      <c r="G97" t="inlineStr">
        <is>
          <t>Fechada</t>
        </is>
      </c>
      <c r="H97" s="5" t="n">
        <v>46074.20033174094</v>
      </c>
      <c r="I9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97">
        <f>IF(AND(Ocorrencias[[#This Row],[Status]]&lt;&gt;"Fechada",TODAY()&gt;Ocorrencias[[#This Row],[Prazo]]),"SIM","")</f>
        <v/>
      </c>
      <c r="K97">
        <f>IFERROR(VLOOKUP(Ocorrencias[[#This Row],[Local]],Unidades!A:B,2,FALSE),"")</f>
        <v/>
      </c>
      <c r="L97" s="7">
        <f>IF(Ocorrencias[[#This Row],[Status]]="Fechada","",TODAY()-Ocorrencias[[#This Row],[DataAbertura]])</f>
        <v/>
      </c>
    </row>
    <row r="98">
      <c r="A98" t="inlineStr">
        <is>
          <t>OS-2761</t>
        </is>
      </c>
      <c r="B98" t="inlineStr">
        <is>
          <t>Sensor de nível sem leitura no tanque G-31</t>
        </is>
      </c>
      <c r="C98" t="inlineStr">
        <is>
          <t>Supervisório mostra leitura congelada do sensor de nível do tanque G-31.</t>
        </is>
      </c>
      <c r="D98" t="inlineStr">
        <is>
          <t>Laboratório de Controle</t>
        </is>
      </c>
      <c r="E98" t="inlineStr">
        <is>
          <t>Crítica</t>
        </is>
      </c>
      <c r="F98" t="inlineStr">
        <is>
          <t>Igor Fonseca</t>
        </is>
      </c>
      <c r="G98" t="inlineStr">
        <is>
          <t>Fechada</t>
        </is>
      </c>
      <c r="H98" s="5" t="n">
        <v>46074.96270789097</v>
      </c>
      <c r="I9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98">
        <f>IF(AND(Ocorrencias[[#This Row],[Status]]&lt;&gt;"Fechada",TODAY()&gt;Ocorrencias[[#This Row],[Prazo]]),"SIM","")</f>
        <v/>
      </c>
      <c r="K98">
        <f>IFERROR(VLOOKUP(Ocorrencias[[#This Row],[Local]],Unidades!A:B,2,FALSE),"")</f>
        <v/>
      </c>
      <c r="L98" s="7">
        <f>IF(Ocorrencias[[#This Row],[Status]]="Fechada","",TODAY()-Ocorrencias[[#This Row],[DataAbertura]])</f>
        <v/>
      </c>
    </row>
    <row r="99">
      <c r="A99" t="inlineStr">
        <is>
          <t>OS-2762</t>
        </is>
      </c>
      <c r="B99" t="inlineStr">
        <is>
          <t>Ar-condicionado da sala F-35 sem refrigerar</t>
        </is>
      </c>
      <c r="C99" t="inlineStr">
        <is>
          <t>Ar-condicionado da sala de painéis F-35 ligado sem refrigerar.</t>
        </is>
      </c>
      <c r="D99" t="inlineStr">
        <is>
          <t>Adutora Tronco Sul</t>
        </is>
      </c>
      <c r="E99" t="inlineStr">
        <is>
          <t>Crítica</t>
        </is>
      </c>
      <c r="F99" t="inlineStr">
        <is>
          <t>Otávio Lacerda</t>
        </is>
      </c>
      <c r="G99" t="inlineStr">
        <is>
          <t>Fechada</t>
        </is>
      </c>
      <c r="H99" s="5" t="n">
        <v>46075.762584041</v>
      </c>
      <c r="I9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99">
        <f>IF(AND(Ocorrencias[[#This Row],[Status]]&lt;&gt;"Fechada",TODAY()&gt;Ocorrencias[[#This Row],[Prazo]]),"SIM","")</f>
        <v/>
      </c>
      <c r="K99">
        <f>IFERROR(VLOOKUP(Ocorrencias[[#This Row],[Local]],Unidades!A:B,2,FALSE),"")</f>
        <v/>
      </c>
      <c r="L99" s="7">
        <f>IF(Ocorrencias[[#This Row],[Status]]="Fechada","",TODAY()-Ocorrencias[[#This Row],[DataAbertura]])</f>
        <v/>
      </c>
    </row>
    <row r="100">
      <c r="A100" t="inlineStr">
        <is>
          <t>OS-2763</t>
        </is>
      </c>
      <c r="B100" t="inlineStr">
        <is>
          <t>Portão da área M-03 emperrado</t>
        </is>
      </c>
      <c r="C100" t="inlineStr">
        <is>
          <t>Portão de acesso da área M-03 exige força excessiva para abrir.</t>
        </is>
      </c>
      <c r="D100" t="inlineStr">
        <is>
          <t>ETA Central</t>
        </is>
      </c>
      <c r="E100" t="inlineStr">
        <is>
          <t>Baixa</t>
        </is>
      </c>
      <c r="F100" t="inlineStr">
        <is>
          <t>Flávio Gusmão</t>
        </is>
      </c>
      <c r="G100" t="inlineStr">
        <is>
          <t>Fechada</t>
        </is>
      </c>
      <c r="H100" s="5" t="n">
        <v>46076.58259907993</v>
      </c>
      <c r="I10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00">
        <f>IF(AND(Ocorrencias[[#This Row],[Status]]&lt;&gt;"Fechada",TODAY()&gt;Ocorrencias[[#This Row],[Prazo]]),"SIM","")</f>
        <v/>
      </c>
      <c r="K100">
        <f>IFERROR(VLOOKUP(Ocorrencias[[#This Row],[Local]],Unidades!A:B,2,FALSE),"")</f>
        <v/>
      </c>
      <c r="L100" s="7">
        <f>IF(Ocorrencias[[#This Row],[Status]]="Fechada","",TODAY()-Ocorrencias[[#This Row],[DataAbertura]])</f>
        <v/>
      </c>
    </row>
    <row r="101">
      <c r="A101" t="inlineStr">
        <is>
          <t>OS-2764</t>
        </is>
      </c>
      <c r="B101" t="inlineStr">
        <is>
          <t>Correia do ventilador V-07 desgastada</t>
        </is>
      </c>
      <c r="C101" t="inlineStr">
        <is>
          <t>Correia do ventilador V-07 com trincas visíveis e folga excessiva.</t>
        </is>
      </c>
      <c r="D101" t="inlineStr">
        <is>
          <t>Subestação Centro</t>
        </is>
      </c>
      <c r="E101" t="inlineStr">
        <is>
          <t>Alta</t>
        </is>
      </c>
      <c r="F101" t="inlineStr">
        <is>
          <t>Cíntia Freitas</t>
        </is>
      </c>
      <c r="G101" t="inlineStr">
        <is>
          <t>Fechada</t>
        </is>
      </c>
      <c r="H101" s="5" t="n">
        <v>46077.37691967441</v>
      </c>
      <c r="I10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01">
        <f>IF(AND(Ocorrencias[[#This Row],[Status]]&lt;&gt;"Fechada",TODAY()&gt;Ocorrencias[[#This Row],[Prazo]]),"SIM","")</f>
        <v/>
      </c>
      <c r="K101">
        <f>IFERROR(VLOOKUP(Ocorrencias[[#This Row],[Local]],Unidades!A:B,2,FALSE),"")</f>
        <v/>
      </c>
      <c r="L101" s="7">
        <f>IF(Ocorrencias[[#This Row],[Status]]="Fechada","",TODAY()-Ocorrencias[[#This Row],[DataAbertura]])</f>
        <v/>
      </c>
    </row>
    <row r="102">
      <c r="A102" t="inlineStr">
        <is>
          <t>OS-2765</t>
        </is>
      </c>
      <c r="B102" t="inlineStr">
        <is>
          <t>Aquecimento no mancal do motor M-21</t>
        </is>
      </c>
      <c r="C102" t="inlineStr">
        <is>
          <t>Mancal do motor M-21 acima da temperatura usual na medição com termômetro infravermelho.</t>
        </is>
      </c>
      <c r="D102" t="inlineStr">
        <is>
          <t>ETA Central</t>
        </is>
      </c>
      <c r="E102" t="inlineStr">
        <is>
          <t>Média</t>
        </is>
      </c>
      <c r="F102" t="inlineStr">
        <is>
          <t>Daniela Pires</t>
        </is>
      </c>
      <c r="G102" t="inlineStr">
        <is>
          <t>Fechada</t>
        </is>
      </c>
      <c r="H102" s="5" t="n">
        <v>46078.14485138</v>
      </c>
      <c r="I10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02">
        <f>IF(AND(Ocorrencias[[#This Row],[Status]]&lt;&gt;"Fechada",TODAY()&gt;Ocorrencias[[#This Row],[Prazo]]),"SIM","")</f>
        <v/>
      </c>
      <c r="K102">
        <f>IFERROR(VLOOKUP(Ocorrencias[[#This Row],[Local]],Unidades!A:B,2,FALSE),"")</f>
        <v/>
      </c>
      <c r="L102" s="7">
        <f>IF(Ocorrencias[[#This Row],[Status]]="Fechada","",TODAY()-Ocorrencias[[#This Row],[DataAbertura]])</f>
        <v/>
      </c>
    </row>
    <row r="103">
      <c r="A103" t="inlineStr">
        <is>
          <t>OS-2766</t>
        </is>
      </c>
      <c r="B103" t="inlineStr">
        <is>
          <t>Aquecimento no mancal do motor F-28</t>
        </is>
      </c>
      <c r="C103" t="inlineStr">
        <is>
          <t>Mancal do motor F-28 acima da temperatura usual na medição com termômetro infravermelho.</t>
        </is>
      </c>
      <c r="D103" t="inlineStr">
        <is>
          <t>ETE Vale do Sol</t>
        </is>
      </c>
      <c r="E103" t="inlineStr">
        <is>
          <t>Alta</t>
        </is>
      </c>
      <c r="F103" t="inlineStr">
        <is>
          <t>Marcos Vinícius Rocha</t>
        </is>
      </c>
      <c r="G103" t="inlineStr">
        <is>
          <t>Fechada</t>
        </is>
      </c>
      <c r="H103" s="5" t="n">
        <v>46078.92667197448</v>
      </c>
      <c r="I10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03">
        <f>IF(AND(Ocorrencias[[#This Row],[Status]]&lt;&gt;"Fechada",TODAY()&gt;Ocorrencias[[#This Row],[Prazo]]),"SIM","")</f>
        <v/>
      </c>
      <c r="K103">
        <f>IFERROR(VLOOKUP(Ocorrencias[[#This Row],[Local]],Unidades!A:B,2,FALSE),"")</f>
        <v/>
      </c>
      <c r="L103" s="7">
        <f>IF(Ocorrencias[[#This Row],[Status]]="Fechada","",TODAY()-Ocorrencias[[#This Row],[DataAbertura]])</f>
        <v/>
      </c>
    </row>
    <row r="104">
      <c r="A104" t="inlineStr">
        <is>
          <t>OS-2767</t>
        </is>
      </c>
      <c r="B104" t="inlineStr">
        <is>
          <t>Pintura descascada na estrutura A-02</t>
        </is>
      </c>
      <c r="C104" t="inlineStr">
        <is>
          <t>Estrutura metálica A-02 com pontos de corrosão sob a pintura.</t>
        </is>
      </c>
      <c r="D104" t="inlineStr">
        <is>
          <t>ETE Vale do Sol</t>
        </is>
      </c>
      <c r="E104" t="inlineStr">
        <is>
          <t>Baixa</t>
        </is>
      </c>
      <c r="F104" t="inlineStr">
        <is>
          <t>Vagner Pacheco</t>
        </is>
      </c>
      <c r="G104" t="inlineStr">
        <is>
          <t>Em andamento</t>
        </is>
      </c>
      <c r="H104" s="5" t="n">
        <v>46079.73279812451</v>
      </c>
      <c r="I10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04">
        <f>IF(AND(Ocorrencias[[#This Row],[Status]]&lt;&gt;"Fechada",TODAY()&gt;Ocorrencias[[#This Row],[Prazo]]),"SIM","")</f>
        <v/>
      </c>
      <c r="K104">
        <f>IFERROR(VLOOKUP(Ocorrencias[[#This Row],[Local]],Unidades!A:B,2,FALSE),"")</f>
        <v/>
      </c>
      <c r="L104" s="7">
        <f>IF(Ocorrencias[[#This Row],[Status]]="Fechada","",TODAY()-Ocorrencias[[#This Row],[DataAbertura]])</f>
        <v/>
      </c>
    </row>
    <row r="105">
      <c r="A105" t="inlineStr">
        <is>
          <t>OS-2768</t>
        </is>
      </c>
      <c r="B105" t="inlineStr">
        <is>
          <t>Disjuntor desarmando no painel F-32</t>
        </is>
      </c>
      <c r="C105" t="inlineStr">
        <is>
          <t>Disjuntor do painel F-32 desarmou três vezes no turno. Carga dentro do nominal.</t>
        </is>
      </c>
      <c r="D105" t="inlineStr">
        <is>
          <t>Base Operacional Litoral</t>
        </is>
      </c>
      <c r="E105" t="inlineStr">
        <is>
          <t>Baixa</t>
        </is>
      </c>
      <c r="F105" t="inlineStr">
        <is>
          <t>Wesley Cardoso</t>
        </is>
      </c>
      <c r="G105" t="inlineStr">
        <is>
          <t>Fechada</t>
        </is>
      </c>
      <c r="H105" s="5" t="n">
        <v>46080.54239649677</v>
      </c>
      <c r="I10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05">
        <f>IF(AND(Ocorrencias[[#This Row],[Status]]&lt;&gt;"Fechada",TODAY()&gt;Ocorrencias[[#This Row],[Prazo]]),"SIM","")</f>
        <v/>
      </c>
      <c r="K105">
        <f>IFERROR(VLOOKUP(Ocorrencias[[#This Row],[Local]],Unidades!A:B,2,FALSE),"")</f>
        <v/>
      </c>
      <c r="L105" s="7">
        <f>IF(Ocorrencias[[#This Row],[Status]]="Fechada","",TODAY()-Ocorrencias[[#This Row],[DataAbertura]])</f>
        <v/>
      </c>
    </row>
    <row r="106">
      <c r="A106" t="inlineStr">
        <is>
          <t>OS-2769</t>
        </is>
      </c>
      <c r="B106" t="inlineStr">
        <is>
          <t>Pintura descascada na estrutura V-40</t>
        </is>
      </c>
      <c r="C106" t="inlineStr">
        <is>
          <t>Estrutura metálica V-40 com pontos de corrosão sob a pintura.</t>
        </is>
      </c>
      <c r="D106" t="inlineStr">
        <is>
          <t>Estação Elevatória Oeste</t>
        </is>
      </c>
      <c r="E106" t="inlineStr">
        <is>
          <t>Alta</t>
        </is>
      </c>
      <c r="F106" t="inlineStr">
        <is>
          <t>Hugo Albuquerque</t>
        </is>
      </c>
      <c r="G106" t="inlineStr">
        <is>
          <t>Fechada</t>
        </is>
      </c>
      <c r="H106" s="5" t="n">
        <v>46081.30338375791</v>
      </c>
      <c r="I10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06">
        <f>IF(AND(Ocorrencias[[#This Row],[Status]]&lt;&gt;"Fechada",TODAY()&gt;Ocorrencias[[#This Row],[Prazo]]),"SIM","")</f>
        <v/>
      </c>
      <c r="K106">
        <f>IFERROR(VLOOKUP(Ocorrencias[[#This Row],[Local]],Unidades!A:B,2,FALSE),"")</f>
        <v/>
      </c>
      <c r="L106" s="7">
        <f>IF(Ocorrencias[[#This Row],[Status]]="Fechada","",TODAY()-Ocorrencias[[#This Row],[DataAbertura]])</f>
        <v/>
      </c>
    </row>
    <row r="107">
      <c r="A107" t="inlineStr">
        <is>
          <t>OS-2770</t>
        </is>
      </c>
      <c r="B107" t="inlineStr">
        <is>
          <t>Calha entupida no prédio V-28</t>
        </is>
      </c>
      <c r="C107" t="inlineStr">
        <is>
          <t>Calha do prédio V-28 transbordando em dia de chuva.</t>
        </is>
      </c>
      <c r="D107" t="inlineStr">
        <is>
          <t>Laboratório de Controle</t>
        </is>
      </c>
      <c r="E107" t="inlineStr">
        <is>
          <t>Crítica</t>
        </is>
      </c>
      <c r="F107" t="inlineStr">
        <is>
          <t>Zeca Moraes</t>
        </is>
      </c>
      <c r="G107" t="inlineStr">
        <is>
          <t>Fechada</t>
        </is>
      </c>
      <c r="H107" s="5" t="n">
        <v>46082.10881546351</v>
      </c>
      <c r="I10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07">
        <f>IF(AND(Ocorrencias[[#This Row],[Status]]&lt;&gt;"Fechada",TODAY()&gt;Ocorrencias[[#This Row],[Prazo]]),"SIM","")</f>
        <v/>
      </c>
      <c r="K107">
        <f>IFERROR(VLOOKUP(Ocorrencias[[#This Row],[Local]],Unidades!A:B,2,FALSE),"")</f>
        <v/>
      </c>
      <c r="L107" s="7">
        <f>IF(Ocorrencias[[#This Row],[Status]]="Fechada","",TODAY()-Ocorrencias[[#This Row],[DataAbertura]])</f>
        <v/>
      </c>
    </row>
    <row r="108">
      <c r="A108" t="inlineStr">
        <is>
          <t>OS-2771</t>
        </is>
      </c>
      <c r="B108" t="inlineStr">
        <is>
          <t>Válvula P-17 não fecha por completo</t>
        </is>
      </c>
      <c r="C108" t="inlineStr">
        <is>
          <t>Válvula P-17 com passagem residual mesmo totalmente fechada. Possível desgaste da sede.</t>
        </is>
      </c>
      <c r="D108" t="inlineStr">
        <is>
          <t>Adutora Tronco Norte</t>
        </is>
      </c>
      <c r="E108" t="inlineStr">
        <is>
          <t>Média</t>
        </is>
      </c>
      <c r="F108" t="inlineStr">
        <is>
          <t>Bernardo Leal</t>
        </is>
      </c>
      <c r="G108" t="inlineStr">
        <is>
          <t>Fechada</t>
        </is>
      </c>
      <c r="H108" s="5" t="n">
        <v>46082.89619161354</v>
      </c>
      <c r="I10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08">
        <f>IF(AND(Ocorrencias[[#This Row],[Status]]&lt;&gt;"Fechada",TODAY()&gt;Ocorrencias[[#This Row],[Prazo]]),"SIM","")</f>
        <v/>
      </c>
      <c r="K108">
        <f>IFERROR(VLOOKUP(Ocorrencias[[#This Row],[Local]],Unidades!A:B,2,FALSE),"")</f>
        <v/>
      </c>
      <c r="L108" s="7">
        <f>IF(Ocorrencias[[#This Row],[Status]]="Fechada","",TODAY()-Ocorrencias[[#This Row],[DataAbertura]])</f>
        <v/>
      </c>
    </row>
    <row r="109">
      <c r="A109" t="inlineStr">
        <is>
          <t>OS-2772</t>
        </is>
      </c>
      <c r="B109" t="inlineStr">
        <is>
          <t>Pintura descascada na estrutura C-02</t>
        </is>
      </c>
      <c r="C109" t="inlineStr">
        <is>
          <t>Estrutura metálica C-02 com pontos de corrosão sob a pintura.</t>
        </is>
      </c>
      <c r="D109" t="inlineStr">
        <is>
          <t>Booster Morada do Sol</t>
        </is>
      </c>
      <c r="E109" t="inlineStr">
        <is>
          <t>Média</t>
        </is>
      </c>
      <c r="F109" t="inlineStr">
        <is>
          <t>Daniela Pires</t>
        </is>
      </c>
      <c r="G109" t="inlineStr">
        <is>
          <t>Fechada</t>
        </is>
      </c>
      <c r="H109" s="5" t="n">
        <v>46083.7057899858</v>
      </c>
      <c r="I10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09">
        <f>IF(AND(Ocorrencias[[#This Row],[Status]]&lt;&gt;"Fechada",TODAY()&gt;Ocorrencias[[#This Row],[Prazo]]),"SIM","")</f>
        <v/>
      </c>
      <c r="K109">
        <f>IFERROR(VLOOKUP(Ocorrencias[[#This Row],[Local]],Unidades!A:B,2,FALSE),"")</f>
        <v/>
      </c>
      <c r="L109" s="7">
        <f>IF(Ocorrencias[[#This Row],[Status]]="Fechada","",TODAY()-Ocorrencias[[#This Row],[DataAbertura]])</f>
        <v/>
      </c>
    </row>
    <row r="110">
      <c r="A110" t="inlineStr">
        <is>
          <t>OS-2773</t>
        </is>
      </c>
      <c r="B110" t="inlineStr">
        <is>
          <t>Ar-condicionado da sala A-31 sem refrigerar</t>
        </is>
      </c>
      <c r="C110" t="inlineStr">
        <is>
          <t>Ar-condicionado da sala de painéis A-31 ligado sem refrigerar.</t>
        </is>
      </c>
      <c r="D110" t="inlineStr">
        <is>
          <t>Laboratório de Controle</t>
        </is>
      </c>
      <c r="E110" t="inlineStr">
        <is>
          <t>Alta</t>
        </is>
      </c>
      <c r="F110" t="inlineStr">
        <is>
          <t>Bernardo Leal</t>
        </is>
      </c>
      <c r="G110" t="inlineStr">
        <is>
          <t>Fechada</t>
        </is>
      </c>
      <c r="H110" s="5" t="n">
        <v>46084.48136058028</v>
      </c>
      <c r="I11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10">
        <f>IF(AND(Ocorrencias[[#This Row],[Status]]&lt;&gt;"Fechada",TODAY()&gt;Ocorrencias[[#This Row],[Prazo]]),"SIM","")</f>
        <v/>
      </c>
      <c r="K110">
        <f>IFERROR(VLOOKUP(Ocorrencias[[#This Row],[Local]],Unidades!A:B,2,FALSE),"")</f>
        <v/>
      </c>
      <c r="L110" s="7">
        <f>IF(Ocorrencias[[#This Row],[Status]]="Fechada","",TODAY()-Ocorrencias[[#This Row],[DataAbertura]])</f>
        <v/>
      </c>
    </row>
    <row r="111">
      <c r="A111" t="inlineStr">
        <is>
          <t>OS-2774</t>
        </is>
      </c>
      <c r="B111" t="inlineStr">
        <is>
          <t>Disjuntor desarmando no painel V-23</t>
        </is>
      </c>
      <c r="C111" t="inlineStr">
        <is>
          <t>Disjuntor do painel V-23 desarmou três vezes no turno. Carga dentro do nominal.</t>
        </is>
      </c>
      <c r="D111" t="inlineStr">
        <is>
          <t>ETE Rio Claro</t>
        </is>
      </c>
      <c r="E111" t="inlineStr">
        <is>
          <t>Baixa</t>
        </is>
      </c>
      <c r="F111" t="inlineStr">
        <is>
          <t>Priscila Guedes</t>
        </is>
      </c>
      <c r="G111" t="inlineStr">
        <is>
          <t>Fechada</t>
        </is>
      </c>
      <c r="H111" s="5" t="n">
        <v>46085.29790339698</v>
      </c>
      <c r="I11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11">
        <f>IF(AND(Ocorrencias[[#This Row],[Status]]&lt;&gt;"Fechada",TODAY()&gt;Ocorrencias[[#This Row],[Prazo]]),"SIM","")</f>
        <v/>
      </c>
      <c r="K111">
        <f>IFERROR(VLOOKUP(Ocorrencias[[#This Row],[Local]],Unidades!A:B,2,FALSE),"")</f>
        <v/>
      </c>
      <c r="L111" s="7">
        <f>IF(Ocorrencias[[#This Row],[Status]]="Fechada","",TODAY()-Ocorrencias[[#This Row],[DataAbertura]])</f>
        <v/>
      </c>
    </row>
    <row r="112">
      <c r="A112" t="inlineStr">
        <is>
          <t>OS-2775</t>
        </is>
      </c>
      <c r="B112" t="inlineStr">
        <is>
          <t>Vazamento de óleo no redutor E-14</t>
        </is>
      </c>
      <c r="C112" t="inlineStr">
        <is>
          <t>Gotejamento de óleo no redutor E-14. Nível ainda dentro da faixa.</t>
        </is>
      </c>
      <c r="D112" t="inlineStr">
        <is>
          <t>ETE Vale do Sol</t>
        </is>
      </c>
      <c r="E112" t="inlineStr">
        <is>
          <t>Média</t>
        </is>
      </c>
      <c r="F112" t="inlineStr">
        <is>
          <t>Alex Nogueira</t>
        </is>
      </c>
      <c r="G112" t="inlineStr">
        <is>
          <t>Em andamento</t>
        </is>
      </c>
      <c r="H112" s="5" t="n">
        <v>46086.08666843591</v>
      </c>
      <c r="I11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12">
        <f>IF(AND(Ocorrencias[[#This Row],[Status]]&lt;&gt;"Fechada",TODAY()&gt;Ocorrencias[[#This Row],[Prazo]]),"SIM","")</f>
        <v/>
      </c>
      <c r="K112">
        <f>IFERROR(VLOOKUP(Ocorrencias[[#This Row],[Local]],Unidades!A:B,2,FALSE),"")</f>
        <v/>
      </c>
      <c r="L112" s="7">
        <f>IF(Ocorrencias[[#This Row],[Status]]="Fechada","",TODAY()-Ocorrencias[[#This Row],[DataAbertura]])</f>
        <v/>
      </c>
    </row>
    <row r="113">
      <c r="A113" t="inlineStr">
        <is>
          <t>OS-2776</t>
        </is>
      </c>
      <c r="B113" t="inlineStr">
        <is>
          <t>Disjuntor desarmando no painel A-34</t>
        </is>
      </c>
      <c r="C113" t="inlineStr">
        <is>
          <t>Disjuntor do painel A-34 desarmou três vezes no turno. Carga dentro do nominal.</t>
        </is>
      </c>
      <c r="D113" t="inlineStr">
        <is>
          <t>ETA Serra Azul</t>
        </is>
      </c>
      <c r="E113" t="inlineStr">
        <is>
          <t>Média</t>
        </is>
      </c>
      <c r="F113" t="inlineStr">
        <is>
          <t>Igor Fonseca</t>
        </is>
      </c>
      <c r="G113" t="inlineStr">
        <is>
          <t>Fechada</t>
        </is>
      </c>
      <c r="H113" s="5" t="n">
        <v>46086.89487791927</v>
      </c>
      <c r="I11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13">
        <f>IF(AND(Ocorrencias[[#This Row],[Status]]&lt;&gt;"Fechada",TODAY()&gt;Ocorrencias[[#This Row],[Prazo]]),"SIM","")</f>
        <v/>
      </c>
      <c r="K113">
        <f>IFERROR(VLOOKUP(Ocorrencias[[#This Row],[Local]],Unidades!A:B,2,FALSE),"")</f>
        <v/>
      </c>
      <c r="L113" s="7">
        <f>IF(Ocorrencias[[#This Row],[Status]]="Fechada","",TODAY()-Ocorrencias[[#This Row],[DataAbertura]])</f>
        <v/>
      </c>
    </row>
    <row r="114">
      <c r="A114" t="inlineStr">
        <is>
          <t>OS-2777</t>
        </is>
      </c>
      <c r="B114" t="inlineStr">
        <is>
          <t>Válvula V-39 não fecha por completo</t>
        </is>
      </c>
      <c r="C114" t="inlineStr">
        <is>
          <t>Válvula V-39 com passagem residual mesmo totalmente fechada. Possível desgaste da sede.</t>
        </is>
      </c>
      <c r="D114" t="inlineStr">
        <is>
          <t>Estação Elevatória Leste</t>
        </is>
      </c>
      <c r="E114" t="inlineStr">
        <is>
          <t>Média</t>
        </is>
      </c>
      <c r="F114" t="inlineStr">
        <is>
          <t>Danilo Peixoto</t>
        </is>
      </c>
      <c r="G114" t="inlineStr">
        <is>
          <t>Fechada</t>
        </is>
      </c>
      <c r="H114" s="5" t="n">
        <v>46087.67530962486</v>
      </c>
      <c r="I11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14">
        <f>IF(AND(Ocorrencias[[#This Row],[Status]]&lt;&gt;"Fechada",TODAY()&gt;Ocorrencias[[#This Row],[Prazo]]),"SIM","")</f>
        <v/>
      </c>
      <c r="K114">
        <f>IFERROR(VLOOKUP(Ocorrencias[[#This Row],[Local]],Unidades!A:B,2,FALSE),"")</f>
        <v/>
      </c>
      <c r="L114" s="7">
        <f>IF(Ocorrencias[[#This Row],[Status]]="Fechada","",TODAY()-Ocorrencias[[#This Row],[DataAbertura]])</f>
        <v/>
      </c>
    </row>
    <row r="115">
      <c r="A115" t="inlineStr">
        <is>
          <t>OS-2778</t>
        </is>
      </c>
      <c r="B115" t="inlineStr">
        <is>
          <t>Medidor de vazão H-28 com leitura instável</t>
        </is>
      </c>
      <c r="C115" t="inlineStr">
        <is>
          <t>Medidor de vazão H-28 oscila sem variação de processo.</t>
        </is>
      </c>
      <c r="D115" t="inlineStr">
        <is>
          <t>ETE Vale do Sol</t>
        </is>
      </c>
      <c r="E115" t="inlineStr">
        <is>
          <t>Média</t>
        </is>
      </c>
      <c r="F115" t="inlineStr">
        <is>
          <t>Bernardo Leal</t>
        </is>
      </c>
      <c r="G115" t="inlineStr">
        <is>
          <t>Em andamento</t>
        </is>
      </c>
      <c r="H115" s="5" t="n">
        <v>46088.44810244157</v>
      </c>
      <c r="I11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15">
        <f>IF(AND(Ocorrencias[[#This Row],[Status]]&lt;&gt;"Fechada",TODAY()&gt;Ocorrencias[[#This Row],[Prazo]]),"SIM","")</f>
        <v/>
      </c>
      <c r="K115">
        <f>IFERROR(VLOOKUP(Ocorrencias[[#This Row],[Local]],Unidades!A:B,2,FALSE),"")</f>
        <v/>
      </c>
      <c r="L115" s="7">
        <f>IF(Ocorrencias[[#This Row],[Status]]="Fechada","",TODAY()-Ocorrencias[[#This Row],[DataAbertura]])</f>
        <v/>
      </c>
    </row>
    <row r="116">
      <c r="A116" t="inlineStr">
        <is>
          <t>OS-2779</t>
        </is>
      </c>
      <c r="B116" t="inlineStr">
        <is>
          <t>Correia do ventilador G-14 desgastada</t>
        </is>
      </c>
      <c r="C116" t="inlineStr">
        <is>
          <t>Correia do ventilador G-14 com trincas visíveis e folga excessiva.</t>
        </is>
      </c>
      <c r="D116" t="inlineStr">
        <is>
          <t>Usina Fotovoltaica Planalto</t>
        </is>
      </c>
      <c r="E116" t="inlineStr">
        <is>
          <t>Média</t>
        </is>
      </c>
      <c r="F116" t="inlineStr">
        <is>
          <t>Hugo Albuquerque</t>
        </is>
      </c>
      <c r="G116" t="inlineStr">
        <is>
          <t>Aberta</t>
        </is>
      </c>
      <c r="H116" s="5" t="n">
        <v>46089.26256192493</v>
      </c>
      <c r="I11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16">
        <f>IF(AND(Ocorrencias[[#This Row],[Status]]&lt;&gt;"Fechada",TODAY()&gt;Ocorrencias[[#This Row],[Prazo]]),"SIM","")</f>
        <v/>
      </c>
      <c r="K116">
        <f>IFERROR(VLOOKUP(Ocorrencias[[#This Row],[Local]],Unidades!A:B,2,FALSE),"")</f>
        <v/>
      </c>
      <c r="L116" s="7">
        <f>IF(Ocorrencias[[#This Row],[Status]]="Fechada","",TODAY()-Ocorrencias[[#This Row],[DataAbertura]])</f>
        <v/>
      </c>
    </row>
    <row r="117">
      <c r="A117" t="inlineStr">
        <is>
          <t>OS-2780</t>
        </is>
      </c>
      <c r="B117" t="inlineStr">
        <is>
          <t>Portão da área G-16 emperrado</t>
        </is>
      </c>
      <c r="C117" t="inlineStr">
        <is>
          <t>Portão de acesso da área G-16 exige força excessiva para abrir.</t>
        </is>
      </c>
      <c r="D117" t="inlineStr">
        <is>
          <t>Base Operacional Sul</t>
        </is>
      </c>
      <c r="E117" t="inlineStr">
        <is>
          <t>Baixa</t>
        </is>
      </c>
      <c r="F117" t="inlineStr">
        <is>
          <t>Wesley Cardoso</t>
        </is>
      </c>
      <c r="G117" t="inlineStr">
        <is>
          <t>Em andamento</t>
        </is>
      </c>
      <c r="H117" s="5" t="n">
        <v>46090.04646585274</v>
      </c>
      <c r="I11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17">
        <f>IF(AND(Ocorrencias[[#This Row],[Status]]&lt;&gt;"Fechada",TODAY()&gt;Ocorrencias[[#This Row],[Prazo]]),"SIM","")</f>
        <v/>
      </c>
      <c r="K117">
        <f>IFERROR(VLOOKUP(Ocorrencias[[#This Row],[Local]],Unidades!A:B,2,FALSE),"")</f>
        <v/>
      </c>
      <c r="L117" s="7">
        <f>IF(Ocorrencias[[#This Row],[Status]]="Fechada","",TODAY()-Ocorrencias[[#This Row],[DataAbertura]])</f>
        <v/>
      </c>
    </row>
    <row r="118">
      <c r="A118" t="inlineStr">
        <is>
          <t>OS-2781</t>
        </is>
      </c>
      <c r="B118" t="inlineStr">
        <is>
          <t>Pintura descascada na estrutura C-13</t>
        </is>
      </c>
      <c r="C118" t="inlineStr">
        <is>
          <t>Estrutura metálica C-13 com pontos de corrosão sob a pintura.</t>
        </is>
      </c>
      <c r="D118" t="inlineStr">
        <is>
          <t>ETA Ribeirão Fundo</t>
        </is>
      </c>
      <c r="E118" t="inlineStr">
        <is>
          <t>Baixa</t>
        </is>
      </c>
      <c r="F118" t="inlineStr">
        <is>
          <t>Flávio Gusmão</t>
        </is>
      </c>
      <c r="G118" t="inlineStr">
        <is>
          <t>Fechada</t>
        </is>
      </c>
      <c r="H118" s="5" t="n">
        <v>46090.87967533611</v>
      </c>
      <c r="I11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18">
        <f>IF(AND(Ocorrencias[[#This Row],[Status]]&lt;&gt;"Fechada",TODAY()&gt;Ocorrencias[[#This Row],[Prazo]]),"SIM","")</f>
        <v/>
      </c>
      <c r="K118">
        <f>IFERROR(VLOOKUP(Ocorrencias[[#This Row],[Local]],Unidades!A:B,2,FALSE),"")</f>
        <v/>
      </c>
      <c r="L118" s="7">
        <f>IF(Ocorrencias[[#This Row],[Status]]="Fechada","",TODAY()-Ocorrencias[[#This Row],[DataAbertura]])</f>
        <v/>
      </c>
    </row>
    <row r="119">
      <c r="A119" t="inlineStr">
        <is>
          <t>OS-2782</t>
        </is>
      </c>
      <c r="B119" t="inlineStr">
        <is>
          <t>Sensor de nível sem leitura no tanque E-15</t>
        </is>
      </c>
      <c r="C119" t="inlineStr">
        <is>
          <t>Supervisório mostra leitura congelada do sensor de nível do tanque E-15.</t>
        </is>
      </c>
      <c r="D119" t="inlineStr">
        <is>
          <t>Almoxarifado Central</t>
        </is>
      </c>
      <c r="E119" t="inlineStr">
        <is>
          <t>Baixa</t>
        </is>
      </c>
      <c r="F119" t="inlineStr">
        <is>
          <t>Flávio Gusmão</t>
        </is>
      </c>
      <c r="G119" t="inlineStr">
        <is>
          <t>Fechada</t>
        </is>
      </c>
      <c r="H119" s="5" t="n">
        <v>46091.65524593059</v>
      </c>
      <c r="I11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19">
        <f>IF(AND(Ocorrencias[[#This Row],[Status]]&lt;&gt;"Fechada",TODAY()&gt;Ocorrencias[[#This Row],[Prazo]]),"SIM","")</f>
        <v/>
      </c>
      <c r="K119">
        <f>IFERROR(VLOOKUP(Ocorrencias[[#This Row],[Local]],Unidades!A:B,2,FALSE),"")</f>
        <v/>
      </c>
      <c r="L119" s="7">
        <f>IF(Ocorrencias[[#This Row],[Status]]="Fechada","",TODAY()-Ocorrencias[[#This Row],[DataAbertura]])</f>
        <v/>
      </c>
    </row>
    <row r="120">
      <c r="A120" t="inlineStr">
        <is>
          <t>OS-2783</t>
        </is>
      </c>
      <c r="B120" t="inlineStr">
        <is>
          <t>Bomba dosadora A-18 sem recalque</t>
        </is>
      </c>
      <c r="C120" t="inlineStr">
        <is>
          <t>Bomba dosadora A-18 liga mas não dosa. Mangueira sem obstrução aparente.</t>
        </is>
      </c>
      <c r="D120" t="inlineStr">
        <is>
          <t>Est. Elevatória Oeste</t>
        </is>
      </c>
      <c r="E120" t="inlineStr">
        <is>
          <t>Baixa</t>
        </is>
      </c>
      <c r="F120" t="inlineStr">
        <is>
          <t>Thiago Bastos</t>
        </is>
      </c>
      <c r="G120" t="inlineStr">
        <is>
          <t>Fechada</t>
        </is>
      </c>
      <c r="H120" s="5" t="n">
        <v>46092.45928874729</v>
      </c>
      <c r="I12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20">
        <f>IF(AND(Ocorrencias[[#This Row],[Status]]&lt;&gt;"Fechada",TODAY()&gt;Ocorrencias[[#This Row],[Prazo]]),"SIM","")</f>
        <v/>
      </c>
      <c r="K120">
        <f>IFERROR(VLOOKUP(Ocorrencias[[#This Row],[Local]],Unidades!A:B,2,FALSE),"")</f>
        <v/>
      </c>
      <c r="L120" s="7">
        <f>IF(Ocorrencias[[#This Row],[Status]]="Fechada","",TODAY()-Ocorrencias[[#This Row],[DataAbertura]])</f>
        <v/>
      </c>
    </row>
    <row r="121">
      <c r="A121" t="inlineStr">
        <is>
          <t>OS-2784</t>
        </is>
      </c>
      <c r="B121" t="inlineStr">
        <is>
          <t>Aquecimento no mancal do motor T-03</t>
        </is>
      </c>
      <c r="C121" t="inlineStr">
        <is>
          <t>Mancal do motor T-03 acima da temperatura usual na medição com termômetro infravermelho.</t>
        </is>
      </c>
      <c r="D121" t="inlineStr">
        <is>
          <t>Estação de Bombeamento Vila Nova</t>
        </is>
      </c>
      <c r="E121" t="inlineStr">
        <is>
          <t>Média</t>
        </is>
      </c>
      <c r="G121" t="inlineStr">
        <is>
          <t>Aberta</t>
        </is>
      </c>
      <c r="H121" s="5" t="n">
        <v>46093.26749823066</v>
      </c>
      <c r="I12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21">
        <f>IF(AND(Ocorrencias[[#This Row],[Status]]&lt;&gt;"Fechada",TODAY()&gt;Ocorrencias[[#This Row],[Prazo]]),"SIM","")</f>
        <v/>
      </c>
      <c r="K121">
        <f>IFERROR(VLOOKUP(Ocorrencias[[#This Row],[Local]],Unidades!A:B,2,FALSE),"")</f>
        <v/>
      </c>
      <c r="L121" s="7">
        <f>IF(Ocorrencias[[#This Row],[Status]]="Fechada","",TODAY()-Ocorrencias[[#This Row],[DataAbertura]])</f>
        <v/>
      </c>
    </row>
    <row r="122">
      <c r="A122" t="inlineStr">
        <is>
          <t>OS-2785</t>
        </is>
      </c>
      <c r="B122" t="inlineStr">
        <is>
          <t>Troca de filtro do compressor V-05</t>
        </is>
      </c>
      <c r="C122" t="inlineStr">
        <is>
          <t>Filtro de ar do compressor V-05 saturado. Substituição preventiva.</t>
        </is>
      </c>
      <c r="D122" t="inlineStr">
        <is>
          <t>Estação de Bombeamento Vila Nova</t>
        </is>
      </c>
      <c r="E122" t="inlineStr">
        <is>
          <t>Baixa</t>
        </is>
      </c>
      <c r="F122" t="inlineStr">
        <is>
          <t>Ingrid Queiroz</t>
        </is>
      </c>
      <c r="G122" t="inlineStr">
        <is>
          <t>Fechada</t>
        </is>
      </c>
      <c r="H122" s="5" t="n">
        <v>46094.04306882514</v>
      </c>
      <c r="I12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22">
        <f>IF(AND(Ocorrencias[[#This Row],[Status]]&lt;&gt;"Fechada",TODAY()&gt;Ocorrencias[[#This Row],[Prazo]]),"SIM","")</f>
        <v/>
      </c>
      <c r="K122">
        <f>IFERROR(VLOOKUP(Ocorrencias[[#This Row],[Local]],Unidades!A:B,2,FALSE),"")</f>
        <v/>
      </c>
      <c r="L122" s="7">
        <f>IF(Ocorrencias[[#This Row],[Status]]="Fechada","",TODAY()-Ocorrencias[[#This Row],[DataAbertura]])</f>
        <v/>
      </c>
    </row>
    <row r="123">
      <c r="A123" t="inlineStr">
        <is>
          <t>OS-2786</t>
        </is>
      </c>
      <c r="B123" t="inlineStr">
        <is>
          <t>Vazamento de óleo no redutor V-21</t>
        </is>
      </c>
      <c r="C123" t="inlineStr">
        <is>
          <t>Gotejamento de óleo no redutor V-21. Nível ainda dentro da faixa.</t>
        </is>
      </c>
      <c r="D123" t="inlineStr">
        <is>
          <t>Subestação Centro</t>
        </is>
      </c>
      <c r="E123" t="inlineStr">
        <is>
          <t>Média</t>
        </is>
      </c>
      <c r="F123" t="inlineStr">
        <is>
          <t>Simone Carvalho</t>
        </is>
      </c>
      <c r="G123" t="inlineStr">
        <is>
          <t>Fechada</t>
        </is>
      </c>
      <c r="H123" s="5" t="n">
        <v>46094.82072275295</v>
      </c>
      <c r="I12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23">
        <f>IF(AND(Ocorrencias[[#This Row],[Status]]&lt;&gt;"Fechada",TODAY()&gt;Ocorrencias[[#This Row],[Prazo]]),"SIM","")</f>
        <v/>
      </c>
      <c r="K123">
        <f>IFERROR(VLOOKUP(Ocorrencias[[#This Row],[Local]],Unidades!A:B,2,FALSE),"")</f>
        <v/>
      </c>
      <c r="L123" s="7">
        <f>IF(Ocorrencias[[#This Row],[Status]]="Fechada","",TODAY()-Ocorrencias[[#This Row],[DataAbertura]])</f>
        <v/>
      </c>
    </row>
    <row r="124">
      <c r="A124" t="inlineStr">
        <is>
          <t>OS-2787</t>
        </is>
      </c>
      <c r="B124" t="inlineStr">
        <is>
          <t>Disjuntor desarmando no painel V-04</t>
        </is>
      </c>
      <c r="C124" t="inlineStr">
        <is>
          <t>Disjuntor do painel V-04 desarmou três vezes no turno. Carga dentro do nominal.</t>
        </is>
      </c>
      <c r="D124" t="inlineStr">
        <is>
          <t>ETA Central</t>
        </is>
      </c>
      <c r="E124" t="inlineStr">
        <is>
          <t>Média</t>
        </is>
      </c>
      <c r="G124" t="inlineStr">
        <is>
          <t>Fechada</t>
        </is>
      </c>
      <c r="H124" s="5" t="n">
        <v>46095.63379334743</v>
      </c>
      <c r="I12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24">
        <f>IF(AND(Ocorrencias[[#This Row],[Status]]&lt;&gt;"Fechada",TODAY()&gt;Ocorrencias[[#This Row],[Prazo]]),"SIM","")</f>
        <v/>
      </c>
      <c r="K124">
        <f>IFERROR(VLOOKUP(Ocorrencias[[#This Row],[Local]],Unidades!A:B,2,FALSE),"")</f>
        <v/>
      </c>
      <c r="L124" s="7">
        <f>IF(Ocorrencias[[#This Row],[Status]]="Fechada","",TODAY()-Ocorrencias[[#This Row],[DataAbertura]])</f>
        <v/>
      </c>
    </row>
    <row r="125">
      <c r="A125" t="inlineStr">
        <is>
          <t>OS-2788</t>
        </is>
      </c>
      <c r="B125" t="inlineStr">
        <is>
          <t>Exaustor G-15 parado</t>
        </is>
      </c>
      <c r="C125" t="inlineStr">
        <is>
          <t>Exaustor G-15 não parte. Fusível íntegro.</t>
        </is>
      </c>
      <c r="D125" t="inlineStr">
        <is>
          <t>Sede Administrativa</t>
        </is>
      </c>
      <c r="E125" t="inlineStr">
        <is>
          <t>Alta</t>
        </is>
      </c>
      <c r="F125" t="inlineStr">
        <is>
          <t>Alex Nogueira</t>
        </is>
      </c>
      <c r="G125" t="inlineStr">
        <is>
          <t>Fechada</t>
        </is>
      </c>
      <c r="H125" s="5" t="n">
        <v>46096.40103060858</v>
      </c>
      <c r="I12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25">
        <f>IF(AND(Ocorrencias[[#This Row],[Status]]&lt;&gt;"Fechada",TODAY()&gt;Ocorrencias[[#This Row],[Prazo]]),"SIM","")</f>
        <v/>
      </c>
      <c r="K125">
        <f>IFERROR(VLOOKUP(Ocorrencias[[#This Row],[Local]],Unidades!A:B,2,FALSE),"")</f>
        <v/>
      </c>
      <c r="L125" s="7">
        <f>IF(Ocorrencias[[#This Row],[Status]]="Fechada","",TODAY()-Ocorrencias[[#This Row],[DataAbertura]])</f>
        <v/>
      </c>
    </row>
    <row r="126">
      <c r="A126" t="inlineStr">
        <is>
          <t>OS-2789</t>
        </is>
      </c>
      <c r="B126" t="inlineStr">
        <is>
          <t>Medidor de vazão D-37 com leitura instável</t>
        </is>
      </c>
      <c r="C126" t="inlineStr">
        <is>
          <t>Medidor de vazão D-37 oscila sem variação de processo.</t>
        </is>
      </c>
      <c r="D126" t="inlineStr">
        <is>
          <t>Base Operacional Norte</t>
        </is>
      </c>
      <c r="E126" t="inlineStr">
        <is>
          <t>Baixa</t>
        </is>
      </c>
      <c r="F126" t="inlineStr">
        <is>
          <t>Simone Carvalho</t>
        </is>
      </c>
      <c r="G126" t="inlineStr">
        <is>
          <t>Fechada</t>
        </is>
      </c>
      <c r="H126" s="5" t="n">
        <v>46097.22937898083</v>
      </c>
      <c r="I12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26">
        <f>IF(AND(Ocorrencias[[#This Row],[Status]]&lt;&gt;"Fechada",TODAY()&gt;Ocorrencias[[#This Row],[Prazo]]),"SIM","")</f>
        <v/>
      </c>
      <c r="K126">
        <f>IFERROR(VLOOKUP(Ocorrencias[[#This Row],[Local]],Unidades!A:B,2,FALSE),"")</f>
        <v/>
      </c>
      <c r="L126" s="7">
        <f>IF(Ocorrencias[[#This Row],[Status]]="Fechada","",TODAY()-Ocorrencias[[#This Row],[DataAbertura]])</f>
        <v/>
      </c>
    </row>
    <row r="127">
      <c r="A127" t="inlineStr">
        <is>
          <t>OS-2790</t>
        </is>
      </c>
      <c r="B127" t="inlineStr">
        <is>
          <t>Bomba dosadora P-05 sem recalque</t>
        </is>
      </c>
      <c r="C127" t="inlineStr">
        <is>
          <t>Bomba dosadora P-05 liga mas não dosa. Mangueira sem obstrução aparente.</t>
        </is>
      </c>
      <c r="D127" t="inlineStr">
        <is>
          <t>ETA Central</t>
        </is>
      </c>
      <c r="E127" t="inlineStr">
        <is>
          <t>Baixa</t>
        </is>
      </c>
      <c r="F127" t="inlineStr">
        <is>
          <t>Simone Carvalho</t>
        </is>
      </c>
      <c r="G127" t="inlineStr">
        <is>
          <t>Fechada</t>
        </is>
      </c>
      <c r="H127" s="5" t="n">
        <v>46098.00147735309</v>
      </c>
      <c r="I12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27">
        <f>IF(AND(Ocorrencias[[#This Row],[Status]]&lt;&gt;"Fechada",TODAY()&gt;Ocorrencias[[#This Row],[Prazo]]),"SIM","")</f>
        <v/>
      </c>
      <c r="K127">
        <f>IFERROR(VLOOKUP(Ocorrencias[[#This Row],[Local]],Unidades!A:B,2,FALSE),"")</f>
        <v/>
      </c>
      <c r="L127" s="7">
        <f>IF(Ocorrencias[[#This Row],[Status]]="Fechada","",TODAY()-Ocorrencias[[#This Row],[DataAbertura]])</f>
        <v/>
      </c>
    </row>
    <row r="128">
      <c r="A128" t="inlineStr">
        <is>
          <t>OS-2791</t>
        </is>
      </c>
      <c r="B128" t="inlineStr">
        <is>
          <t>Correia do ventilador A-12 desgastada</t>
        </is>
      </c>
      <c r="C128" t="inlineStr">
        <is>
          <t>Correia do ventilador A-12 com trincas visíveis e folga excessiva.</t>
        </is>
      </c>
      <c r="D128" t="inlineStr">
        <is>
          <t>Subestação Oeste</t>
        </is>
      </c>
      <c r="E128" t="inlineStr">
        <is>
          <t>Média</t>
        </is>
      </c>
      <c r="F128" t="inlineStr">
        <is>
          <t>Zeca Moraes</t>
        </is>
      </c>
      <c r="G128" t="inlineStr">
        <is>
          <t>Em andamento</t>
        </is>
      </c>
      <c r="H128" s="5" t="n">
        <v>46098.80482572535</v>
      </c>
      <c r="I12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28">
        <f>IF(AND(Ocorrencias[[#This Row],[Status]]&lt;&gt;"Fechada",TODAY()&gt;Ocorrencias[[#This Row],[Prazo]]),"SIM","")</f>
        <v/>
      </c>
      <c r="K128">
        <f>IFERROR(VLOOKUP(Ocorrencias[[#This Row],[Local]],Unidades!A:B,2,FALSE),"")</f>
        <v/>
      </c>
      <c r="L128" s="7">
        <f>IF(Ocorrencias[[#This Row],[Status]]="Fechada","",TODAY()-Ocorrencias[[#This Row],[DataAbertura]])</f>
        <v/>
      </c>
    </row>
    <row r="129">
      <c r="A129" t="inlineStr">
        <is>
          <t>OS-2792</t>
        </is>
      </c>
      <c r="B129" t="inlineStr">
        <is>
          <t>Correia do ventilador P-01 desgastada</t>
        </is>
      </c>
      <c r="C129" t="inlineStr">
        <is>
          <t>Correia do ventilador P-01 com trincas visíveis e folga excessiva.</t>
        </is>
      </c>
      <c r="D129" t="inlineStr">
        <is>
          <t>Subestação Norte</t>
        </is>
      </c>
      <c r="E129" t="inlineStr">
        <is>
          <t>Baixa</t>
        </is>
      </c>
      <c r="F129" t="inlineStr">
        <is>
          <t>Daniela Pires</t>
        </is>
      </c>
      <c r="G129" t="inlineStr">
        <is>
          <t>Fechada</t>
        </is>
      </c>
      <c r="H129" s="5" t="n">
        <v>46099.60609076427</v>
      </c>
      <c r="I12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29">
        <f>IF(AND(Ocorrencias[[#This Row],[Status]]&lt;&gt;"Fechada",TODAY()&gt;Ocorrencias[[#This Row],[Prazo]]),"SIM","")</f>
        <v/>
      </c>
      <c r="K129">
        <f>IFERROR(VLOOKUP(Ocorrencias[[#This Row],[Local]],Unidades!A:B,2,FALSE),"")</f>
        <v/>
      </c>
      <c r="L129" s="7">
        <f>IF(Ocorrencias[[#This Row],[Status]]="Fechada","",TODAY()-Ocorrencias[[#This Row],[DataAbertura]])</f>
        <v/>
      </c>
    </row>
    <row r="130">
      <c r="A130" t="inlineStr">
        <is>
          <t>OS-2793</t>
        </is>
      </c>
      <c r="B130" t="inlineStr">
        <is>
          <t>Vazamento na bomba V-03</t>
        </is>
      </c>
      <c r="C130" t="inlineStr">
        <is>
          <t>Vazamento pelo selo mecânico da bomba V-03. Piso molhado ao redor da base.</t>
        </is>
      </c>
      <c r="D130" t="inlineStr">
        <is>
          <t>Almoxarifado Central</t>
        </is>
      </c>
      <c r="E130" t="inlineStr">
        <is>
          <t>Média</t>
        </is>
      </c>
      <c r="G130" t="inlineStr">
        <is>
          <t>Fechada</t>
        </is>
      </c>
      <c r="H130" s="5" t="n">
        <v>46100.38721691431</v>
      </c>
      <c r="I13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30">
        <f>IF(AND(Ocorrencias[[#This Row],[Status]]&lt;&gt;"Fechada",TODAY()&gt;Ocorrencias[[#This Row],[Prazo]]),"SIM","")</f>
        <v/>
      </c>
      <c r="K130">
        <f>IFERROR(VLOOKUP(Ocorrencias[[#This Row],[Local]],Unidades!A:B,2,FALSE),"")</f>
        <v/>
      </c>
      <c r="L130" s="7">
        <f>IF(Ocorrencias[[#This Row],[Status]]="Fechada","",TODAY()-Ocorrencias[[#This Row],[DataAbertura]])</f>
        <v/>
      </c>
    </row>
    <row r="131">
      <c r="A131" t="inlineStr">
        <is>
          <t>OS-2794</t>
        </is>
      </c>
      <c r="B131" t="inlineStr">
        <is>
          <t>Vazamento na bomba M-04</t>
        </is>
      </c>
      <c r="C131" t="inlineStr">
        <is>
          <t>Vazamento pelo selo mecânico da bomba M-04. Piso molhado ao redor da base.</t>
        </is>
      </c>
      <c r="D131" t="inlineStr">
        <is>
          <t>Oficina Elétrica Central</t>
        </is>
      </c>
      <c r="E131" t="inlineStr">
        <is>
          <t>Baixa</t>
        </is>
      </c>
      <c r="F131" t="inlineStr">
        <is>
          <t>Gabriel Matos</t>
        </is>
      </c>
      <c r="G131" t="inlineStr">
        <is>
          <t>Fechada</t>
        </is>
      </c>
      <c r="H131" s="5" t="n">
        <v>46101.18223195323</v>
      </c>
      <c r="I13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31">
        <f>IF(AND(Ocorrencias[[#This Row],[Status]]&lt;&gt;"Fechada",TODAY()&gt;Ocorrencias[[#This Row],[Prazo]]),"SIM","")</f>
        <v/>
      </c>
      <c r="K131">
        <f>IFERROR(VLOOKUP(Ocorrencias[[#This Row],[Local]],Unidades!A:B,2,FALSE),"")</f>
        <v/>
      </c>
      <c r="L131" s="7">
        <f>IF(Ocorrencias[[#This Row],[Status]]="Fechada","",TODAY()-Ocorrencias[[#This Row],[DataAbertura]])</f>
        <v/>
      </c>
    </row>
    <row r="132">
      <c r="A132" t="inlineStr">
        <is>
          <t>OS-2795</t>
        </is>
      </c>
      <c r="B132" t="inlineStr">
        <is>
          <t>Bomba dosadora A-13 sem recalque</t>
        </is>
      </c>
      <c r="C132" t="inlineStr">
        <is>
          <t>Bomba dosadora A-13 liga mas não dosa. Mangueira sem obstrução aparente.</t>
        </is>
      </c>
      <c r="D132" t="inlineStr">
        <is>
          <t>Oficina Elétrica Central</t>
        </is>
      </c>
      <c r="E132" t="inlineStr">
        <is>
          <t>Baixa</t>
        </is>
      </c>
      <c r="F132" t="inlineStr">
        <is>
          <t>Hugo Albuquerque</t>
        </is>
      </c>
      <c r="G132" t="inlineStr">
        <is>
          <t>Fechada</t>
        </is>
      </c>
      <c r="H132" s="5" t="n">
        <v>46101.96127476993</v>
      </c>
      <c r="I13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32">
        <f>IF(AND(Ocorrencias[[#This Row],[Status]]&lt;&gt;"Fechada",TODAY()&gt;Ocorrencias[[#This Row],[Prazo]]),"SIM","")</f>
        <v/>
      </c>
      <c r="K132">
        <f>IFERROR(VLOOKUP(Ocorrencias[[#This Row],[Local]],Unidades!A:B,2,FALSE),"")</f>
        <v/>
      </c>
      <c r="L132" s="7">
        <f>IF(Ocorrencias[[#This Row],[Status]]="Fechada","",TODAY()-Ocorrencias[[#This Row],[DataAbertura]])</f>
        <v/>
      </c>
    </row>
    <row r="133">
      <c r="A133" t="inlineStr">
        <is>
          <t>OS-2796</t>
        </is>
      </c>
      <c r="B133" t="inlineStr">
        <is>
          <t>Válvula E-03 não fecha por completo</t>
        </is>
      </c>
      <c r="C133" t="inlineStr">
        <is>
          <t>Válvula E-03 com passagem residual mesmo totalmente fechada. Possível desgaste da sede.</t>
        </is>
      </c>
      <c r="D133" t="inlineStr">
        <is>
          <t>Subestação Norte</t>
        </is>
      </c>
      <c r="E133" t="inlineStr">
        <is>
          <t>Média</t>
        </is>
      </c>
      <c r="F133" t="inlineStr">
        <is>
          <t>Caio Rangel</t>
        </is>
      </c>
      <c r="G133" t="inlineStr">
        <is>
          <t>Fechada</t>
        </is>
      </c>
      <c r="H133" s="5" t="n">
        <v>46102.7819842533</v>
      </c>
      <c r="I13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33">
        <f>IF(AND(Ocorrencias[[#This Row],[Status]]&lt;&gt;"Fechada",TODAY()&gt;Ocorrencias[[#This Row],[Prazo]]),"SIM","")</f>
        <v/>
      </c>
      <c r="K133">
        <f>IFERROR(VLOOKUP(Ocorrencias[[#This Row],[Local]],Unidades!A:B,2,FALSE),"")</f>
        <v/>
      </c>
      <c r="L133" s="7">
        <f>IF(Ocorrencias[[#This Row],[Status]]="Fechada","",TODAY()-Ocorrencias[[#This Row],[DataAbertura]])</f>
        <v/>
      </c>
    </row>
    <row r="134">
      <c r="A134" t="inlineStr">
        <is>
          <t>OS-2797</t>
        </is>
      </c>
      <c r="B134" t="inlineStr">
        <is>
          <t>Medidor de vazão P-33 com leitura instável</t>
        </is>
      </c>
      <c r="C134" t="inlineStr">
        <is>
          <t>Medidor de vazão P-33 oscila sem variação de processo.</t>
        </is>
      </c>
      <c r="D134" t="inlineStr">
        <is>
          <t>Centro de Operações</t>
        </is>
      </c>
      <c r="E134" t="inlineStr">
        <is>
          <t>Média</t>
        </is>
      </c>
      <c r="F134" t="inlineStr">
        <is>
          <t>Gabriel Matos</t>
        </is>
      </c>
      <c r="G134" t="inlineStr">
        <is>
          <t>Fechada</t>
        </is>
      </c>
      <c r="H134" s="5" t="n">
        <v>46103.54088818111</v>
      </c>
      <c r="I13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34">
        <f>IF(AND(Ocorrencias[[#This Row],[Status]]&lt;&gt;"Fechada",TODAY()&gt;Ocorrencias[[#This Row],[Prazo]]),"SIM","")</f>
        <v/>
      </c>
      <c r="K134">
        <f>IFERROR(VLOOKUP(Ocorrencias[[#This Row],[Local]],Unidades!A:B,2,FALSE),"")</f>
        <v/>
      </c>
      <c r="L134" s="7">
        <f>IF(Ocorrencias[[#This Row],[Status]]="Fechada","",TODAY()-Ocorrencias[[#This Row],[DataAbertura]])</f>
        <v/>
      </c>
    </row>
    <row r="135">
      <c r="A135" t="inlineStr">
        <is>
          <t>OS-2798</t>
        </is>
      </c>
      <c r="B135" t="inlineStr">
        <is>
          <t>Vazamento de óleo no redutor V-26</t>
        </is>
      </c>
      <c r="C135" t="inlineStr">
        <is>
          <t>Gotejamento de óleo no redutor V-26. Nível ainda dentro da faixa.</t>
        </is>
      </c>
      <c r="D135" t="inlineStr">
        <is>
          <t>Estação de Bombeamento Vila Nova</t>
        </is>
      </c>
      <c r="E135" t="inlineStr">
        <is>
          <t>Baixa</t>
        </is>
      </c>
      <c r="F135" t="inlineStr">
        <is>
          <t>Úrsula Maia</t>
        </is>
      </c>
      <c r="G135" t="inlineStr">
        <is>
          <t>Fechada</t>
        </is>
      </c>
      <c r="H135" s="5" t="n">
        <v>46104.36368099781</v>
      </c>
      <c r="I13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35">
        <f>IF(AND(Ocorrencias[[#This Row],[Status]]&lt;&gt;"Fechada",TODAY()&gt;Ocorrencias[[#This Row],[Prazo]]),"SIM","")</f>
        <v/>
      </c>
      <c r="K135">
        <f>IFERROR(VLOOKUP(Ocorrencias[[#This Row],[Local]],Unidades!A:B,2,FALSE),"")</f>
        <v/>
      </c>
      <c r="L135" s="7">
        <f>IF(Ocorrencias[[#This Row],[Status]]="Fechada","",TODAY()-Ocorrencias[[#This Row],[DataAbertura]])</f>
        <v/>
      </c>
    </row>
    <row r="136">
      <c r="A136" t="inlineStr">
        <is>
          <t>OS-2799</t>
        </is>
      </c>
      <c r="B136" t="inlineStr">
        <is>
          <t>Correia do ventilador E-23 desgastada</t>
        </is>
      </c>
      <c r="C136" t="inlineStr">
        <is>
          <t>Correia do ventilador E-23 com trincas visíveis e folga excessiva.</t>
        </is>
      </c>
      <c r="D136" t="inlineStr">
        <is>
          <t>Subestação Norte</t>
        </is>
      </c>
      <c r="E136" t="inlineStr">
        <is>
          <t>Alta</t>
        </is>
      </c>
      <c r="F136" t="inlineStr">
        <is>
          <t>Beatriz Farias</t>
        </is>
      </c>
      <c r="G136" t="inlineStr">
        <is>
          <t>Fechada</t>
        </is>
      </c>
      <c r="H136" s="5" t="n">
        <v>46105.13300159229</v>
      </c>
      <c r="I13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36">
        <f>IF(AND(Ocorrencias[[#This Row],[Status]]&lt;&gt;"Fechada",TODAY()&gt;Ocorrencias[[#This Row],[Prazo]]),"SIM","")</f>
        <v/>
      </c>
      <c r="K136">
        <f>IFERROR(VLOOKUP(Ocorrencias[[#This Row],[Local]],Unidades!A:B,2,FALSE),"")</f>
        <v/>
      </c>
      <c r="L136" s="7">
        <f>IF(Ocorrencias[[#This Row],[Status]]="Fechada","",TODAY()-Ocorrencias[[#This Row],[DataAbertura]])</f>
        <v/>
      </c>
    </row>
    <row r="137">
      <c r="A137" t="inlineStr">
        <is>
          <t>OS-2800</t>
        </is>
      </c>
      <c r="B137" t="inlineStr">
        <is>
          <t>Infiltração na parede da casa de bombas P-16</t>
        </is>
      </c>
      <c r="C137" t="inlineStr">
        <is>
          <t>Mancha de umidade crescente na parede da casa de bombas P-16.</t>
        </is>
      </c>
      <c r="D137" t="inlineStr">
        <is>
          <t>Subestação Sul</t>
        </is>
      </c>
      <c r="E137" t="inlineStr">
        <is>
          <t>Baixa</t>
        </is>
      </c>
      <c r="F137" t="inlineStr">
        <is>
          <t>Úrsula Maia</t>
        </is>
      </c>
      <c r="G137" t="inlineStr">
        <is>
          <t>Fechada</t>
        </is>
      </c>
      <c r="H137" s="5" t="n">
        <v>46105.93218329788</v>
      </c>
      <c r="I13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37">
        <f>IF(AND(Ocorrencias[[#This Row],[Status]]&lt;&gt;"Fechada",TODAY()&gt;Ocorrencias[[#This Row],[Prazo]]),"SIM","")</f>
        <v/>
      </c>
      <c r="K137">
        <f>IFERROR(VLOOKUP(Ocorrencias[[#This Row],[Local]],Unidades!A:B,2,FALSE),"")</f>
        <v/>
      </c>
      <c r="L137" s="7">
        <f>IF(Ocorrencias[[#This Row],[Status]]="Fechada","",TODAY()-Ocorrencias[[#This Row],[DataAbertura]])</f>
        <v/>
      </c>
    </row>
    <row r="138">
      <c r="A138" t="inlineStr">
        <is>
          <t>OS-2801</t>
        </is>
      </c>
      <c r="B138" t="inlineStr">
        <is>
          <t>Vazamento na bomba T-14</t>
        </is>
      </c>
      <c r="C138" t="inlineStr">
        <is>
          <t>Vazamento pelo selo mecânico da bomba T-14. Piso molhado ao redor da base.</t>
        </is>
      </c>
      <c r="D138" t="inlineStr">
        <is>
          <t>Subestação Norte</t>
        </is>
      </c>
      <c r="E138" t="inlineStr">
        <is>
          <t>Crítica</t>
        </is>
      </c>
      <c r="F138" t="inlineStr">
        <is>
          <t>Kleber Antunes</t>
        </is>
      </c>
      <c r="G138" t="inlineStr">
        <is>
          <t>Fechada</t>
        </is>
      </c>
      <c r="H138" s="5" t="n">
        <v>46106.7271983368</v>
      </c>
      <c r="I13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38">
        <f>IF(AND(Ocorrencias[[#This Row],[Status]]&lt;&gt;"Fechada",TODAY()&gt;Ocorrencias[[#This Row],[Prazo]]),"SIM","")</f>
        <v/>
      </c>
      <c r="K138">
        <f>IFERROR(VLOOKUP(Ocorrencias[[#This Row],[Local]],Unidades!A:B,2,FALSE),"")</f>
        <v/>
      </c>
      <c r="L138" s="7">
        <f>IF(Ocorrencias[[#This Row],[Status]]="Fechada","",TODAY()-Ocorrencias[[#This Row],[DataAbertura]])</f>
        <v/>
      </c>
    </row>
    <row r="139">
      <c r="A139" t="inlineStr">
        <is>
          <t>OS-2802</t>
        </is>
      </c>
      <c r="B139" t="inlineStr">
        <is>
          <t>Correia do ventilador E-29 desgastada</t>
        </is>
      </c>
      <c r="C139" t="inlineStr">
        <is>
          <t>Correia do ventilador E-29 com trincas visíveis e folga excessiva.</t>
        </is>
      </c>
      <c r="D139" t="inlineStr">
        <is>
          <t>Galpão de Materiais</t>
        </is>
      </c>
      <c r="E139" t="inlineStr">
        <is>
          <t>Baixa</t>
        </is>
      </c>
      <c r="F139" t="inlineStr">
        <is>
          <t>Hugo Albuquerque</t>
        </is>
      </c>
      <c r="G139" t="inlineStr">
        <is>
          <t>Fechada</t>
        </is>
      </c>
      <c r="H139" s="5" t="n">
        <v>46107.52221337573</v>
      </c>
      <c r="I13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39">
        <f>IF(AND(Ocorrencias[[#This Row],[Status]]&lt;&gt;"Fechada",TODAY()&gt;Ocorrencias[[#This Row],[Prazo]]),"SIM","")</f>
        <v/>
      </c>
      <c r="K139">
        <f>IFERROR(VLOOKUP(Ocorrencias[[#This Row],[Local]],Unidades!A:B,2,FALSE),"")</f>
        <v/>
      </c>
      <c r="L139" s="7">
        <f>IF(Ocorrencias[[#This Row],[Status]]="Fechada","",TODAY()-Ocorrencias[[#This Row],[DataAbertura]])</f>
        <v/>
      </c>
    </row>
    <row r="140">
      <c r="A140" t="inlineStr">
        <is>
          <t>OS-2803</t>
        </is>
      </c>
      <c r="B140" t="inlineStr">
        <is>
          <t>Disjuntor desarmando no painel G-23</t>
        </is>
      </c>
      <c r="C140" t="inlineStr">
        <is>
          <t>Disjuntor do painel G-23 desarmou três vezes no turno. Carga dentro do nominal.</t>
        </is>
      </c>
      <c r="D140" t="inlineStr">
        <is>
          <t>Oficina Elétrica Central</t>
        </is>
      </c>
      <c r="E140" t="inlineStr">
        <is>
          <t>Alta</t>
        </is>
      </c>
      <c r="F140" t="inlineStr">
        <is>
          <t>Caio Rangel</t>
        </is>
      </c>
      <c r="G140" t="inlineStr">
        <is>
          <t>Fechada</t>
        </is>
      </c>
      <c r="H140" s="5" t="n">
        <v>46108.35820063687</v>
      </c>
      <c r="I14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40">
        <f>IF(AND(Ocorrencias[[#This Row],[Status]]&lt;&gt;"Fechada",TODAY()&gt;Ocorrencias[[#This Row],[Prazo]]),"SIM","")</f>
        <v/>
      </c>
      <c r="K140">
        <f>IFERROR(VLOOKUP(Ocorrencias[[#This Row],[Local]],Unidades!A:B,2,FALSE),"")</f>
        <v/>
      </c>
      <c r="L140" s="7">
        <f>IF(Ocorrencias[[#This Row],[Status]]="Fechada","",TODAY()-Ocorrencias[[#This Row],[DataAbertura]])</f>
        <v/>
      </c>
    </row>
    <row r="141">
      <c r="A141" t="inlineStr">
        <is>
          <t>OS-2804</t>
        </is>
      </c>
      <c r="B141" t="inlineStr">
        <is>
          <t>Aquecimento no mancal do motor D-27</t>
        </is>
      </c>
      <c r="C141" t="inlineStr">
        <is>
          <t>Mancal do motor D-27 acima da temperatura usual na medição com termômetro infravermelho.</t>
        </is>
      </c>
      <c r="D141" t="inlineStr">
        <is>
          <t>Captação Lagoa Seca</t>
        </is>
      </c>
      <c r="E141" t="inlineStr">
        <is>
          <t>Média</t>
        </is>
      </c>
      <c r="G141" t="inlineStr">
        <is>
          <t>Aberta</t>
        </is>
      </c>
      <c r="H141" s="5" t="n">
        <v>46109.12613234246</v>
      </c>
      <c r="I14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41">
        <f>IF(AND(Ocorrencias[[#This Row],[Status]]&lt;&gt;"Fechada",TODAY()&gt;Ocorrencias[[#This Row],[Prazo]]),"SIM","")</f>
        <v/>
      </c>
      <c r="K141">
        <f>IFERROR(VLOOKUP(Ocorrencias[[#This Row],[Local]],Unidades!A:B,2,FALSE),"")</f>
        <v/>
      </c>
      <c r="L141" s="7">
        <f>IF(Ocorrencias[[#This Row],[Status]]="Fechada","",TODAY()-Ocorrencias[[#This Row],[DataAbertura]])</f>
        <v/>
      </c>
    </row>
    <row r="142">
      <c r="A142" t="inlineStr">
        <is>
          <t>OS-2805</t>
        </is>
      </c>
      <c r="B142" t="inlineStr">
        <is>
          <t>Lâmpada queimada na área R-29</t>
        </is>
      </c>
      <c r="C142" t="inlineStr">
        <is>
          <t>Iluminação da área R-29 sem funcionar. Reposição de lâmpada e conferência do reator.</t>
        </is>
      </c>
      <c r="D142" t="inlineStr">
        <is>
          <t>Base Operacional Serra</t>
        </is>
      </c>
      <c r="E142" t="inlineStr">
        <is>
          <t>Média</t>
        </is>
      </c>
      <c r="F142" t="inlineStr">
        <is>
          <t>Hugo Albuquerque</t>
        </is>
      </c>
      <c r="G142" t="inlineStr">
        <is>
          <t>Fechada</t>
        </is>
      </c>
      <c r="H142" s="5" t="n">
        <v>46109.94545293695</v>
      </c>
      <c r="I14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42">
        <f>IF(AND(Ocorrencias[[#This Row],[Status]]&lt;&gt;"Fechada",TODAY()&gt;Ocorrencias[[#This Row],[Prazo]]),"SIM","")</f>
        <v/>
      </c>
      <c r="K142">
        <f>IFERROR(VLOOKUP(Ocorrencias[[#This Row],[Local]],Unidades!A:B,2,FALSE),"")</f>
        <v/>
      </c>
      <c r="L142" s="7">
        <f>IF(Ocorrencias[[#This Row],[Status]]="Fechada","",TODAY()-Ocorrencias[[#This Row],[DataAbertura]])</f>
        <v/>
      </c>
    </row>
    <row r="143">
      <c r="A143" t="inlineStr">
        <is>
          <t>OS-2806</t>
        </is>
      </c>
      <c r="B143" t="inlineStr">
        <is>
          <t>Ar-condicionado da sala V-12 sem refrigerar</t>
        </is>
      </c>
      <c r="C143" t="inlineStr">
        <is>
          <t>Ar-condicionado da sala de painéis V-12 ligado sem refrigerar.</t>
        </is>
      </c>
      <c r="D143" t="inlineStr">
        <is>
          <t>Almoxarifado Central</t>
        </is>
      </c>
      <c r="E143" t="inlineStr">
        <is>
          <t>Média</t>
        </is>
      </c>
      <c r="F143" t="inlineStr">
        <is>
          <t>Natália Cordeiro</t>
        </is>
      </c>
      <c r="G143" t="inlineStr">
        <is>
          <t>Fechada</t>
        </is>
      </c>
      <c r="H143" s="5" t="n">
        <v>46110.72519019809</v>
      </c>
      <c r="I14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43">
        <f>IF(AND(Ocorrencias[[#This Row],[Status]]&lt;&gt;"Fechada",TODAY()&gt;Ocorrencias[[#This Row],[Prazo]]),"SIM","")</f>
        <v/>
      </c>
      <c r="K143">
        <f>IFERROR(VLOOKUP(Ocorrencias[[#This Row],[Local]],Unidades!A:B,2,FALSE),"")</f>
        <v/>
      </c>
      <c r="L143" s="7">
        <f>IF(Ocorrencias[[#This Row],[Status]]="Fechada","",TODAY()-Ocorrencias[[#This Row],[DataAbertura]])</f>
        <v/>
      </c>
    </row>
    <row r="144">
      <c r="A144" t="inlineStr">
        <is>
          <t>OS-2807</t>
        </is>
      </c>
      <c r="B144" t="inlineStr">
        <is>
          <t>Ar-condicionado da sala P-05 sem refrigerar</t>
        </is>
      </c>
      <c r="C144" t="inlineStr">
        <is>
          <t>Ar-condicionado da sala de painéis P-05 ligado sem refrigerar.</t>
        </is>
      </c>
      <c r="D144" t="inlineStr">
        <is>
          <t>Estação de Bombeamento Vila Nova</t>
        </is>
      </c>
      <c r="E144" t="inlineStr">
        <is>
          <t>Baixa</t>
        </is>
      </c>
      <c r="F144" t="inlineStr">
        <is>
          <t>Marcos Vinícius Rocha</t>
        </is>
      </c>
      <c r="G144" t="inlineStr">
        <is>
          <t>Fechada</t>
        </is>
      </c>
      <c r="H144" s="5" t="n">
        <v>46111.50353857034</v>
      </c>
      <c r="I14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44">
        <f>IF(AND(Ocorrencias[[#This Row],[Status]]&lt;&gt;"Fechada",TODAY()&gt;Ocorrencias[[#This Row],[Prazo]]),"SIM","")</f>
        <v/>
      </c>
      <c r="K144">
        <f>IFERROR(VLOOKUP(Ocorrencias[[#This Row],[Local]],Unidades!A:B,2,FALSE),"")</f>
        <v/>
      </c>
      <c r="L144" s="7">
        <f>IF(Ocorrencias[[#This Row],[Status]]="Fechada","",TODAY()-Ocorrencias[[#This Row],[DataAbertura]])</f>
        <v/>
      </c>
    </row>
    <row r="145">
      <c r="A145" t="inlineStr">
        <is>
          <t>OS-2808</t>
        </is>
      </c>
      <c r="B145" t="inlineStr">
        <is>
          <t>Calha entupida no prédio A-09</t>
        </is>
      </c>
      <c r="C145" t="inlineStr">
        <is>
          <t>Calha do prédio A-09 transbordando em dia de chuva.</t>
        </is>
      </c>
      <c r="D145" t="inlineStr">
        <is>
          <t>Sede Administrativa</t>
        </is>
      </c>
      <c r="E145" t="inlineStr">
        <is>
          <t>Baixa</t>
        </is>
      </c>
      <c r="F145" t="inlineStr">
        <is>
          <t>Gabriel Matos</t>
        </is>
      </c>
      <c r="G145" t="inlineStr">
        <is>
          <t>Fechada</t>
        </is>
      </c>
      <c r="H145" s="5" t="n">
        <v>46112.29647027593</v>
      </c>
      <c r="I14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45">
        <f>IF(AND(Ocorrencias[[#This Row],[Status]]&lt;&gt;"Fechada",TODAY()&gt;Ocorrencias[[#This Row],[Prazo]]),"SIM","")</f>
        <v/>
      </c>
      <c r="K145">
        <f>IFERROR(VLOOKUP(Ocorrencias[[#This Row],[Local]],Unidades!A:B,2,FALSE),"")</f>
        <v/>
      </c>
      <c r="L145" s="7">
        <f>IF(Ocorrencias[[#This Row],[Status]]="Fechada","",TODAY()-Ocorrencias[[#This Row],[DataAbertura]])</f>
        <v/>
      </c>
    </row>
    <row r="146">
      <c r="A146" t="inlineStr">
        <is>
          <t>OS-2809</t>
        </is>
      </c>
      <c r="B146" t="inlineStr">
        <is>
          <t>Tomada sem energia na sala H-08</t>
        </is>
      </c>
      <c r="C146" t="inlineStr">
        <is>
          <t>Tomada de serviço da sala H-08 sem tensão.</t>
        </is>
      </c>
      <c r="D146" t="inlineStr">
        <is>
          <t>Galpão de Materiais</t>
        </is>
      </c>
      <c r="E146" t="inlineStr">
        <is>
          <t>Média</t>
        </is>
      </c>
      <c r="F146" t="inlineStr">
        <is>
          <t>Igor Fonseca</t>
        </is>
      </c>
      <c r="G146" t="inlineStr">
        <is>
          <t>Fechada</t>
        </is>
      </c>
      <c r="H146" s="5" t="n">
        <v>46113.08731864819</v>
      </c>
      <c r="I14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46">
        <f>IF(AND(Ocorrencias[[#This Row],[Status]]&lt;&gt;"Fechada",TODAY()&gt;Ocorrencias[[#This Row],[Prazo]]),"SIM","")</f>
        <v/>
      </c>
      <c r="K146">
        <f>IFERROR(VLOOKUP(Ocorrencias[[#This Row],[Local]],Unidades!A:B,2,FALSE),"")</f>
        <v/>
      </c>
      <c r="L146" s="7">
        <f>IF(Ocorrencias[[#This Row],[Status]]="Fechada","",TODAY()-Ocorrencias[[#This Row],[DataAbertura]])</f>
        <v/>
      </c>
    </row>
    <row r="147">
      <c r="A147" t="inlineStr">
        <is>
          <t>OS-2810</t>
        </is>
      </c>
      <c r="B147" t="inlineStr">
        <is>
          <t>Exaustor R-39 parado</t>
        </is>
      </c>
      <c r="C147" t="inlineStr">
        <is>
          <t>Exaustor R-39 não parte. Fusível íntegro.</t>
        </is>
      </c>
      <c r="D147" t="inlineStr">
        <is>
          <t>Estação Elevatória Leste</t>
        </is>
      </c>
      <c r="E147" t="inlineStr">
        <is>
          <t>Alta</t>
        </is>
      </c>
      <c r="F147" t="inlineStr">
        <is>
          <t>Hugo Albuquerque</t>
        </is>
      </c>
      <c r="G147" t="inlineStr">
        <is>
          <t>Fechada</t>
        </is>
      </c>
      <c r="H147" s="5" t="n">
        <v>46113.91358368712</v>
      </c>
      <c r="I14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47">
        <f>IF(AND(Ocorrencias[[#This Row],[Status]]&lt;&gt;"Fechada",TODAY()&gt;Ocorrencias[[#This Row],[Prazo]]),"SIM","")</f>
        <v/>
      </c>
      <c r="K147">
        <f>IFERROR(VLOOKUP(Ocorrencias[[#This Row],[Local]],Unidades!A:B,2,FALSE),"")</f>
        <v/>
      </c>
      <c r="L147" s="7">
        <f>IF(Ocorrencias[[#This Row],[Status]]="Fechada","",TODAY()-Ocorrencias[[#This Row],[DataAbertura]])</f>
        <v/>
      </c>
    </row>
    <row r="148">
      <c r="A148" t="inlineStr">
        <is>
          <t>OS-2811</t>
        </is>
      </c>
      <c r="B148" t="inlineStr">
        <is>
          <t>Vazamento na bomba T-26</t>
        </is>
      </c>
      <c r="C148" t="inlineStr">
        <is>
          <t>Vazamento pelo selo mecânico da bomba T-26. Piso molhado ao redor da base.</t>
        </is>
      </c>
      <c r="D148" t="inlineStr">
        <is>
          <t>Estação Elevatória Leste</t>
        </is>
      </c>
      <c r="E148" t="inlineStr">
        <is>
          <t>Média</t>
        </is>
      </c>
      <c r="F148" t="inlineStr">
        <is>
          <t>Rafael Torres</t>
        </is>
      </c>
      <c r="G148" t="inlineStr">
        <is>
          <t>Fechada</t>
        </is>
      </c>
      <c r="H148" s="5" t="n">
        <v>46114.69470983715</v>
      </c>
      <c r="I14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48">
        <f>IF(AND(Ocorrencias[[#This Row],[Status]]&lt;&gt;"Fechada",TODAY()&gt;Ocorrencias[[#This Row],[Prazo]]),"SIM","")</f>
        <v/>
      </c>
      <c r="K148">
        <f>IFERROR(VLOOKUP(Ocorrencias[[#This Row],[Local]],Unidades!A:B,2,FALSE),"")</f>
        <v/>
      </c>
      <c r="L148" s="7">
        <f>IF(Ocorrencias[[#This Row],[Status]]="Fechada","",TODAY()-Ocorrencias[[#This Row],[DataAbertura]])</f>
        <v/>
      </c>
    </row>
    <row r="149">
      <c r="A149" t="inlineStr">
        <is>
          <t>OS-2812</t>
        </is>
      </c>
      <c r="B149" t="inlineStr">
        <is>
          <t>Pintura descascada na estrutura G-04</t>
        </is>
      </c>
      <c r="C149" t="inlineStr">
        <is>
          <t>Estrutura metálica G-04 com pontos de corrosão sob a pintura.</t>
        </is>
      </c>
      <c r="D149" t="inlineStr">
        <is>
          <t>Booster Parque das Águas</t>
        </is>
      </c>
      <c r="E149" t="inlineStr">
        <is>
          <t>Média</t>
        </is>
      </c>
      <c r="F149" t="inlineStr">
        <is>
          <t>Otávio Lacerda</t>
        </is>
      </c>
      <c r="G149" t="inlineStr">
        <is>
          <t>Fechada</t>
        </is>
      </c>
      <c r="H149" s="5" t="n">
        <v>46115.46680820941</v>
      </c>
      <c r="I14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49">
        <f>IF(AND(Ocorrencias[[#This Row],[Status]]&lt;&gt;"Fechada",TODAY()&gt;Ocorrencias[[#This Row],[Prazo]]),"SIM","")</f>
        <v/>
      </c>
      <c r="K149">
        <f>IFERROR(VLOOKUP(Ocorrencias[[#This Row],[Local]],Unidades!A:B,2,FALSE),"")</f>
        <v/>
      </c>
      <c r="L149" s="7">
        <f>IF(Ocorrencias[[#This Row],[Status]]="Fechada","",TODAY()-Ocorrencias[[#This Row],[DataAbertura]])</f>
        <v/>
      </c>
    </row>
    <row r="150">
      <c r="A150" t="inlineStr">
        <is>
          <t>OS-2813</t>
        </is>
      </c>
      <c r="B150" t="inlineStr">
        <is>
          <t>Troca de filtro do compressor C-26</t>
        </is>
      </c>
      <c r="C150" t="inlineStr">
        <is>
          <t>Filtro de ar do compressor C-26 saturado. Substituição preventiva.</t>
        </is>
      </c>
      <c r="D150" t="inlineStr">
        <is>
          <t>Base Operacional Norte</t>
        </is>
      </c>
      <c r="E150" t="inlineStr">
        <is>
          <t>Média</t>
        </is>
      </c>
      <c r="F150" t="inlineStr">
        <is>
          <t>Jonas Teles</t>
        </is>
      </c>
      <c r="G150" t="inlineStr">
        <is>
          <t>Fechada</t>
        </is>
      </c>
      <c r="H150" s="5" t="n">
        <v>46116.25001769278</v>
      </c>
      <c r="I15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50">
        <f>IF(AND(Ocorrencias[[#This Row],[Status]]&lt;&gt;"Fechada",TODAY()&gt;Ocorrencias[[#This Row],[Prazo]]),"SIM","")</f>
        <v/>
      </c>
      <c r="K150">
        <f>IFERROR(VLOOKUP(Ocorrencias[[#This Row],[Local]],Unidades!A:B,2,FALSE),"")</f>
        <v/>
      </c>
      <c r="L150" s="7">
        <f>IF(Ocorrencias[[#This Row],[Status]]="Fechada","",TODAY()-Ocorrencias[[#This Row],[DataAbertura]])</f>
        <v/>
      </c>
    </row>
    <row r="151">
      <c r="A151" t="inlineStr">
        <is>
          <t>OS-2814</t>
        </is>
      </c>
      <c r="B151" t="inlineStr">
        <is>
          <t>Lâmpada queimada na área G-38</t>
        </is>
      </c>
      <c r="C151" t="inlineStr">
        <is>
          <t>Iluminação da área G-38 sem funcionar. Reposição de lâmpada e conferência do reator.</t>
        </is>
      </c>
      <c r="D151" t="inlineStr">
        <is>
          <t>ETE Rio Claro</t>
        </is>
      </c>
      <c r="E151" t="inlineStr">
        <is>
          <t>Média</t>
        </is>
      </c>
      <c r="F151" t="inlineStr">
        <is>
          <t>Fernanda Quintela</t>
        </is>
      </c>
      <c r="G151" t="inlineStr">
        <is>
          <t>Fechada</t>
        </is>
      </c>
      <c r="H151" s="5" t="n">
        <v>46117.08531050948</v>
      </c>
      <c r="I15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51">
        <f>IF(AND(Ocorrencias[[#This Row],[Status]]&lt;&gt;"Fechada",TODAY()&gt;Ocorrencias[[#This Row],[Prazo]]),"SIM","")</f>
        <v/>
      </c>
      <c r="K151">
        <f>IFERROR(VLOOKUP(Ocorrencias[[#This Row],[Local]],Unidades!A:B,2,FALSE),"")</f>
        <v/>
      </c>
      <c r="L151" s="7">
        <f>IF(Ocorrencias[[#This Row],[Status]]="Fechada","",TODAY()-Ocorrencias[[#This Row],[DataAbertura]])</f>
        <v/>
      </c>
    </row>
    <row r="152">
      <c r="A152" t="inlineStr">
        <is>
          <t>OS-2815</t>
        </is>
      </c>
      <c r="B152" t="inlineStr">
        <is>
          <t>Lâmpada queimada na área F-08</t>
        </is>
      </c>
      <c r="C152" t="inlineStr">
        <is>
          <t>Iluminação da área F-08 sem funcionar. Reposição de lâmpada e conferência do reator.</t>
        </is>
      </c>
      <c r="D152" t="inlineStr">
        <is>
          <t>Torre de Telecomunicação Morro Alto</t>
        </is>
      </c>
      <c r="E152" t="inlineStr">
        <is>
          <t>Média</t>
        </is>
      </c>
      <c r="F152" t="inlineStr">
        <is>
          <t>Kleber Antunes</t>
        </is>
      </c>
      <c r="G152" t="inlineStr">
        <is>
          <t>Fechada</t>
        </is>
      </c>
      <c r="H152" s="5" t="n">
        <v>46117.86504777063</v>
      </c>
      <c r="I15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52">
        <f>IF(AND(Ocorrencias[[#This Row],[Status]]&lt;&gt;"Fechada",TODAY()&gt;Ocorrencias[[#This Row],[Prazo]]),"SIM","")</f>
        <v/>
      </c>
      <c r="K152">
        <f>IFERROR(VLOOKUP(Ocorrencias[[#This Row],[Local]],Unidades!A:B,2,FALSE),"")</f>
        <v/>
      </c>
      <c r="L152" s="7">
        <f>IF(Ocorrencias[[#This Row],[Status]]="Fechada","",TODAY()-Ocorrencias[[#This Row],[DataAbertura]])</f>
        <v/>
      </c>
    </row>
    <row r="153">
      <c r="A153" t="inlineStr">
        <is>
          <t>OS-2816</t>
        </is>
      </c>
      <c r="B153" t="inlineStr">
        <is>
          <t>Correia do ventilador F-15 desgastada</t>
        </is>
      </c>
      <c r="C153" t="inlineStr">
        <is>
          <t>Correia do ventilador F-15 com trincas visíveis e folga excessiva.</t>
        </is>
      </c>
      <c r="D153" t="inlineStr">
        <is>
          <t>Pátio de Veículos</t>
        </is>
      </c>
      <c r="E153" t="inlineStr">
        <is>
          <t>Baixa</t>
        </is>
      </c>
      <c r="F153" t="inlineStr">
        <is>
          <t>Cíntia Freitas</t>
        </is>
      </c>
      <c r="G153" t="inlineStr">
        <is>
          <t>Fechada</t>
        </is>
      </c>
      <c r="H153" s="5" t="n">
        <v>46118.68714614288</v>
      </c>
      <c r="I15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53">
        <f>IF(AND(Ocorrencias[[#This Row],[Status]]&lt;&gt;"Fechada",TODAY()&gt;Ocorrencias[[#This Row],[Prazo]]),"SIM","")</f>
        <v/>
      </c>
      <c r="K153">
        <f>IFERROR(VLOOKUP(Ocorrencias[[#This Row],[Local]],Unidades!A:B,2,FALSE),"")</f>
        <v/>
      </c>
      <c r="L153" s="7">
        <f>IF(Ocorrencias[[#This Row],[Status]]="Fechada","",TODAY()-Ocorrencias[[#This Row],[DataAbertura]])</f>
        <v/>
      </c>
    </row>
    <row r="154">
      <c r="A154" t="inlineStr">
        <is>
          <t>OS-2817</t>
        </is>
      </c>
      <c r="B154" t="inlineStr">
        <is>
          <t>Correia do ventilador D-34 desgastada</t>
        </is>
      </c>
      <c r="C154" t="inlineStr">
        <is>
          <t>Correia do ventilador D-34 com trincas visíveis e folga excessiva.</t>
        </is>
      </c>
      <c r="D154" t="inlineStr">
        <is>
          <t>Oficina Mecânica Central</t>
        </is>
      </c>
      <c r="E154" t="inlineStr">
        <is>
          <t>Baixa</t>
        </is>
      </c>
      <c r="G154" t="inlineStr">
        <is>
          <t>Fechada</t>
        </is>
      </c>
      <c r="H154" s="5" t="n">
        <v>46119.44118895959</v>
      </c>
      <c r="I15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54">
        <f>IF(AND(Ocorrencias[[#This Row],[Status]]&lt;&gt;"Fechada",TODAY()&gt;Ocorrencias[[#This Row],[Prazo]]),"SIM","")</f>
        <v/>
      </c>
      <c r="K154">
        <f>IFERROR(VLOOKUP(Ocorrencias[[#This Row],[Local]],Unidades!A:B,2,FALSE),"")</f>
        <v/>
      </c>
      <c r="L154" s="7">
        <f>IF(Ocorrencias[[#This Row],[Status]]="Fechada","",TODAY()-Ocorrencias[[#This Row],[DataAbertura]])</f>
        <v/>
      </c>
    </row>
    <row r="155">
      <c r="A155" t="inlineStr">
        <is>
          <t>OS-2818</t>
        </is>
      </c>
      <c r="B155" t="inlineStr">
        <is>
          <t>Vazamento na bomba P-09</t>
        </is>
      </c>
      <c r="C155" t="inlineStr">
        <is>
          <t>Vazamento pelo selo mecânico da bomba P-09. Piso molhado ao redor da base.</t>
        </is>
      </c>
      <c r="D155" t="inlineStr">
        <is>
          <t>Estação Elevatória Leste</t>
        </is>
      </c>
      <c r="E155" t="inlineStr">
        <is>
          <t>Baixa</t>
        </is>
      </c>
      <c r="F155" t="inlineStr">
        <is>
          <t>Juliana Aguiar</t>
        </is>
      </c>
      <c r="G155" t="inlineStr">
        <is>
          <t>Fechada</t>
        </is>
      </c>
      <c r="H155" s="5" t="n">
        <v>46120.26537066518</v>
      </c>
      <c r="I15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55">
        <f>IF(AND(Ocorrencias[[#This Row],[Status]]&lt;&gt;"Fechada",TODAY()&gt;Ocorrencias[[#This Row],[Prazo]]),"SIM","")</f>
        <v/>
      </c>
      <c r="K155">
        <f>IFERROR(VLOOKUP(Ocorrencias[[#This Row],[Local]],Unidades!A:B,2,FALSE),"")</f>
        <v/>
      </c>
      <c r="L155" s="7">
        <f>IF(Ocorrencias[[#This Row],[Status]]="Fechada","",TODAY()-Ocorrencias[[#This Row],[DataAbertura]])</f>
        <v/>
      </c>
    </row>
    <row r="156">
      <c r="A156" t="inlineStr">
        <is>
          <t>OS-2819</t>
        </is>
      </c>
      <c r="B156" t="inlineStr">
        <is>
          <t>Vazamento na bomba V-19</t>
        </is>
      </c>
      <c r="C156" t="inlineStr">
        <is>
          <t>Vazamento pelo selo mecânico da bomba V-19. Piso molhado ao redor da base.</t>
        </is>
      </c>
      <c r="D156" t="inlineStr">
        <is>
          <t>ETA Central</t>
        </is>
      </c>
      <c r="E156" t="inlineStr">
        <is>
          <t>Alta</t>
        </is>
      </c>
      <c r="F156" t="inlineStr">
        <is>
          <t>Otávio Lacerda</t>
        </is>
      </c>
      <c r="G156" t="inlineStr">
        <is>
          <t>Fechada</t>
        </is>
      </c>
      <c r="H156" s="5" t="n">
        <v>46121.04441348188</v>
      </c>
      <c r="I15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56">
        <f>IF(AND(Ocorrencias[[#This Row],[Status]]&lt;&gt;"Fechada",TODAY()&gt;Ocorrencias[[#This Row],[Prazo]]),"SIM","")</f>
        <v/>
      </c>
      <c r="K156">
        <f>IFERROR(VLOOKUP(Ocorrencias[[#This Row],[Local]],Unidades!A:B,2,FALSE),"")</f>
        <v/>
      </c>
      <c r="L156" s="7">
        <f>IF(Ocorrencias[[#This Row],[Status]]="Fechada","",TODAY()-Ocorrencias[[#This Row],[DataAbertura]])</f>
        <v/>
      </c>
    </row>
    <row r="157">
      <c r="A157" t="inlineStr">
        <is>
          <t>OS-2820</t>
        </is>
      </c>
      <c r="B157" t="inlineStr">
        <is>
          <t>Bomba dosadora V-02 sem recalque</t>
        </is>
      </c>
      <c r="C157" t="inlineStr">
        <is>
          <t>Bomba dosadora V-02 liga mas não dosa. Mangueira sem obstrução aparente.</t>
        </is>
      </c>
      <c r="D157" t="inlineStr">
        <is>
          <t>Sede Administrativa</t>
        </is>
      </c>
      <c r="E157" t="inlineStr">
        <is>
          <t>Baixa</t>
        </is>
      </c>
      <c r="F157" t="inlineStr">
        <is>
          <t>Zeca Moraes</t>
        </is>
      </c>
      <c r="G157" t="inlineStr">
        <is>
          <t>Em andamento</t>
        </is>
      </c>
      <c r="H157" s="5" t="n">
        <v>46121.83665074302</v>
      </c>
      <c r="I15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57">
        <f>IF(AND(Ocorrencias[[#This Row],[Status]]&lt;&gt;"Fechada",TODAY()&gt;Ocorrencias[[#This Row],[Prazo]]),"SIM","")</f>
        <v/>
      </c>
      <c r="K157">
        <f>IFERROR(VLOOKUP(Ocorrencias[[#This Row],[Local]],Unidades!A:B,2,FALSE),"")</f>
        <v/>
      </c>
      <c r="L157" s="7">
        <f>IF(Ocorrencias[[#This Row],[Status]]="Fechada","",TODAY()-Ocorrencias[[#This Row],[DataAbertura]])</f>
        <v/>
      </c>
    </row>
    <row r="158">
      <c r="A158" t="inlineStr">
        <is>
          <t>OS-2821</t>
        </is>
      </c>
      <c r="B158" t="inlineStr">
        <is>
          <t>Ruído anormal no motor H-04</t>
        </is>
      </c>
      <c r="C158" t="inlineStr">
        <is>
          <t>Ruído intermitente no motor H-04 durante a partida. Temperatura normal ao toque.</t>
        </is>
      </c>
      <c r="D158" t="inlineStr">
        <is>
          <t>Almoxarifado</t>
        </is>
      </c>
      <c r="E158" t="inlineStr">
        <is>
          <t>Baixa</t>
        </is>
      </c>
      <c r="F158" t="inlineStr">
        <is>
          <t>Lívia Montenegro</t>
        </is>
      </c>
      <c r="G158" t="inlineStr">
        <is>
          <t>Fechada</t>
        </is>
      </c>
      <c r="H158" s="5" t="n">
        <v>46122.60388800417</v>
      </c>
      <c r="I15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58">
        <f>IF(AND(Ocorrencias[[#This Row],[Status]]&lt;&gt;"Fechada",TODAY()&gt;Ocorrencias[[#This Row],[Prazo]]),"SIM","")</f>
        <v/>
      </c>
      <c r="K158">
        <f>IFERROR(VLOOKUP(Ocorrencias[[#This Row],[Local]],Unidades!A:B,2,FALSE),"")</f>
        <v/>
      </c>
      <c r="L158" s="7">
        <f>IF(Ocorrencias[[#This Row],[Status]]="Fechada","",TODAY()-Ocorrencias[[#This Row],[DataAbertura]])</f>
        <v/>
      </c>
    </row>
    <row r="159">
      <c r="A159" t="inlineStr">
        <is>
          <t>OS-2822</t>
        </is>
      </c>
      <c r="B159" t="inlineStr">
        <is>
          <t>Tomada sem energia na sala R-36</t>
        </is>
      </c>
      <c r="C159" t="inlineStr">
        <is>
          <t>Tomada de serviço da sala R-36 sem tensão.</t>
        </is>
      </c>
      <c r="D159" t="inlineStr">
        <is>
          <t>Estação Elevatória Leste</t>
        </is>
      </c>
      <c r="E159" t="inlineStr">
        <is>
          <t>Média</t>
        </is>
      </c>
      <c r="F159" t="inlineStr">
        <is>
          <t>Vagner Pacheco</t>
        </is>
      </c>
      <c r="G159" t="inlineStr">
        <is>
          <t>Fechada</t>
        </is>
      </c>
      <c r="H159" s="5" t="n">
        <v>46123.41904193198</v>
      </c>
      <c r="I15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59">
        <f>IF(AND(Ocorrencias[[#This Row],[Status]]&lt;&gt;"Fechada",TODAY()&gt;Ocorrencias[[#This Row],[Prazo]]),"SIM","")</f>
        <v/>
      </c>
      <c r="K159">
        <f>IFERROR(VLOOKUP(Ocorrencias[[#This Row],[Local]],Unidades!A:B,2,FALSE),"")</f>
        <v/>
      </c>
      <c r="L159" s="7">
        <f>IF(Ocorrencias[[#This Row],[Status]]="Fechada","",TODAY()-Ocorrencias[[#This Row],[DataAbertura]])</f>
        <v/>
      </c>
    </row>
    <row r="160">
      <c r="A160" t="inlineStr">
        <is>
          <t>OS-2823</t>
        </is>
      </c>
      <c r="B160" t="inlineStr">
        <is>
          <t>Disjuntor desarmando no painel M-35</t>
        </is>
      </c>
      <c r="C160" t="inlineStr">
        <is>
          <t>Disjuntor do painel M-35 desarmou três vezes no turno. Carga dentro do nominal.</t>
        </is>
      </c>
      <c r="D160" t="inlineStr">
        <is>
          <t>Subestação Centro</t>
        </is>
      </c>
      <c r="E160" t="inlineStr">
        <is>
          <t>Crítica</t>
        </is>
      </c>
      <c r="F160" t="inlineStr">
        <is>
          <t>Otávio Lacerda</t>
        </is>
      </c>
      <c r="G160" t="inlineStr">
        <is>
          <t>Fechada</t>
        </is>
      </c>
      <c r="H160" s="5" t="n">
        <v>46124.21127919313</v>
      </c>
      <c r="I16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60">
        <f>IF(AND(Ocorrencias[[#This Row],[Status]]&lt;&gt;"Fechada",TODAY()&gt;Ocorrencias[[#This Row],[Prazo]]),"SIM","")</f>
        <v/>
      </c>
      <c r="K160">
        <f>IFERROR(VLOOKUP(Ocorrencias[[#This Row],[Local]],Unidades!A:B,2,FALSE),"")</f>
        <v/>
      </c>
      <c r="L160" s="7">
        <f>IF(Ocorrencias[[#This Row],[Status]]="Fechada","",TODAY()-Ocorrencias[[#This Row],[DataAbertura]])</f>
        <v/>
      </c>
    </row>
    <row r="161">
      <c r="A161" t="inlineStr">
        <is>
          <t>OS-2824</t>
        </is>
      </c>
      <c r="B161" t="inlineStr">
        <is>
          <t>Lâmpada queimada na área G-12</t>
        </is>
      </c>
      <c r="C161" t="inlineStr">
        <is>
          <t>Iluminação da área G-12 sem funcionar. Reposição de lâmpada e conferência do reator.</t>
        </is>
      </c>
      <c r="D161" t="inlineStr">
        <is>
          <t>Estação Elevatória Oeste</t>
        </is>
      </c>
      <c r="E161" t="inlineStr">
        <is>
          <t>Média</t>
        </is>
      </c>
      <c r="F161" t="inlineStr">
        <is>
          <t>Danilo Peixoto</t>
        </is>
      </c>
      <c r="G161" t="inlineStr">
        <is>
          <t>Fechada</t>
        </is>
      </c>
      <c r="H161" s="5" t="n"/>
      <c r="I16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61">
        <f>IF(AND(Ocorrencias[[#This Row],[Status]]&lt;&gt;"Fechada",TODAY()&gt;Ocorrencias[[#This Row],[Prazo]]),"SIM","")</f>
        <v/>
      </c>
      <c r="K161">
        <f>IFERROR(VLOOKUP(Ocorrencias[[#This Row],[Local]],Unidades!A:B,2,FALSE),"")</f>
        <v/>
      </c>
      <c r="L161" s="7">
        <f>IF(Ocorrencias[[#This Row],[Status]]="Fechada","",TODAY()-Ocorrencias[[#This Row],[DataAbertura]])</f>
        <v/>
      </c>
    </row>
    <row r="162">
      <c r="A162" t="inlineStr">
        <is>
          <t>OS-2825</t>
        </is>
      </c>
      <c r="B162" t="inlineStr">
        <is>
          <t>Válvula T-31 não fecha por completo</t>
        </is>
      </c>
      <c r="C162" t="inlineStr">
        <is>
          <t>Válvula T-31 com passagem residual mesmo totalmente fechada. Possível desgaste da sede.</t>
        </is>
      </c>
      <c r="D162" t="inlineStr">
        <is>
          <t>Base Operacional Sul</t>
        </is>
      </c>
      <c r="E162" t="inlineStr">
        <is>
          <t>Média</t>
        </is>
      </c>
      <c r="G162" t="inlineStr">
        <is>
          <t>Fechada</t>
        </is>
      </c>
      <c r="H162" s="5" t="n">
        <v>46125.8158926043</v>
      </c>
      <c r="I16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62">
        <f>IF(AND(Ocorrencias[[#This Row],[Status]]&lt;&gt;"Fechada",TODAY()&gt;Ocorrencias[[#This Row],[Prazo]]),"SIM","")</f>
        <v/>
      </c>
      <c r="K162">
        <f>IFERROR(VLOOKUP(Ocorrencias[[#This Row],[Local]],Unidades!A:B,2,FALSE),"")</f>
        <v/>
      </c>
      <c r="L162" s="7">
        <f>IF(Ocorrencias[[#This Row],[Status]]="Fechada","",TODAY()-Ocorrencias[[#This Row],[DataAbertura]])</f>
        <v/>
      </c>
    </row>
    <row r="163">
      <c r="A163" t="inlineStr">
        <is>
          <t>OS-2826</t>
        </is>
      </c>
      <c r="B163" t="inlineStr">
        <is>
          <t>Bomba dosadora H-03 sem recalque</t>
        </is>
      </c>
      <c r="C163" t="inlineStr">
        <is>
          <t>Bomba dosadora H-03 liga mas não dosa. Mangueira sem obstrução aparente.</t>
        </is>
      </c>
      <c r="D163" t="inlineStr">
        <is>
          <t>ETA Central</t>
        </is>
      </c>
      <c r="E163" t="inlineStr">
        <is>
          <t>Média</t>
        </is>
      </c>
      <c r="F163" t="inlineStr">
        <is>
          <t>Bernardo Leal</t>
        </is>
      </c>
      <c r="G163" t="inlineStr">
        <is>
          <t>Fechada</t>
        </is>
      </c>
      <c r="H163" s="5" t="n">
        <v>46126.60674097656</v>
      </c>
      <c r="I16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63">
        <f>IF(AND(Ocorrencias[[#This Row],[Status]]&lt;&gt;"Fechada",TODAY()&gt;Ocorrencias[[#This Row],[Prazo]]),"SIM","")</f>
        <v/>
      </c>
      <c r="K163">
        <f>IFERROR(VLOOKUP(Ocorrencias[[#This Row],[Local]],Unidades!A:B,2,FALSE),"")</f>
        <v/>
      </c>
      <c r="L163" s="7">
        <f>IF(Ocorrencias[[#This Row],[Status]]="Fechada","",TODAY()-Ocorrencias[[#This Row],[DataAbertura]])</f>
        <v/>
      </c>
    </row>
    <row r="164">
      <c r="A164" t="inlineStr">
        <is>
          <t>OS-2827</t>
        </is>
      </c>
      <c r="B164" t="inlineStr">
        <is>
          <t>Disjuntor desarmando no painel D-07</t>
        </is>
      </c>
      <c r="C164" t="inlineStr">
        <is>
          <t>Disjuntor do painel D-07 desarmou três vezes no turno. Carga dentro do nominal.</t>
        </is>
      </c>
      <c r="D164" t="inlineStr">
        <is>
          <t>Booster Parque das Águas</t>
        </is>
      </c>
      <c r="E164" t="inlineStr">
        <is>
          <t>Alta</t>
        </is>
      </c>
      <c r="G164" t="inlineStr">
        <is>
          <t>Fechada</t>
        </is>
      </c>
      <c r="H164" s="5" t="n">
        <v>46127.38925601549</v>
      </c>
      <c r="I16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64">
        <f>IF(AND(Ocorrencias[[#This Row],[Status]]&lt;&gt;"Fechada",TODAY()&gt;Ocorrencias[[#This Row],[Prazo]]),"SIM","")</f>
        <v/>
      </c>
      <c r="K164">
        <f>IFERROR(VLOOKUP(Ocorrencias[[#This Row],[Local]],Unidades!A:B,2,FALSE),"")</f>
        <v/>
      </c>
      <c r="L164" s="7">
        <f>IF(Ocorrencias[[#This Row],[Status]]="Fechada","",TODAY()-Ocorrencias[[#This Row],[DataAbertura]])</f>
        <v/>
      </c>
    </row>
    <row r="165">
      <c r="A165" t="inlineStr">
        <is>
          <t>OS-2828</t>
        </is>
      </c>
      <c r="B165" t="inlineStr">
        <is>
          <t>Ruído anormal no motor M-03</t>
        </is>
      </c>
      <c r="C165" t="inlineStr">
        <is>
          <t>Ruído intermitente no motor M-03 durante a partida. Temperatura normal ao toque.</t>
        </is>
      </c>
      <c r="D165" t="inlineStr">
        <is>
          <t>ETA Central</t>
        </is>
      </c>
      <c r="E165" t="inlineStr">
        <is>
          <t>Crítica</t>
        </is>
      </c>
      <c r="G165" t="inlineStr">
        <is>
          <t>Fechada</t>
        </is>
      </c>
      <c r="H165" s="5" t="n">
        <v>46128.18774327663</v>
      </c>
      <c r="I16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65">
        <f>IF(AND(Ocorrencias[[#This Row],[Status]]&lt;&gt;"Fechada",TODAY()&gt;Ocorrencias[[#This Row],[Prazo]]),"SIM","")</f>
        <v/>
      </c>
      <c r="K165">
        <f>IFERROR(VLOOKUP(Ocorrencias[[#This Row],[Local]],Unidades!A:B,2,FALSE),"")</f>
        <v/>
      </c>
      <c r="L165" s="7">
        <f>IF(Ocorrencias[[#This Row],[Status]]="Fechada","",TODAY()-Ocorrencias[[#This Row],[DataAbertura]])</f>
        <v/>
      </c>
    </row>
    <row r="166">
      <c r="A166" t="inlineStr">
        <is>
          <t>OS-2829</t>
        </is>
      </c>
      <c r="B166" t="inlineStr">
        <is>
          <t>Correia do ventilador V-38 desgastada</t>
        </is>
      </c>
      <c r="C166" t="inlineStr">
        <is>
          <t>Correia do ventilador V-38 com trincas visíveis e folga excessiva.</t>
        </is>
      </c>
      <c r="D166" t="inlineStr">
        <is>
          <t>Estação de Bombeamento Vila Nova</t>
        </is>
      </c>
      <c r="E166" t="inlineStr">
        <is>
          <t>Média</t>
        </is>
      </c>
      <c r="G166" t="inlineStr">
        <is>
          <t>Fechada</t>
        </is>
      </c>
      <c r="H166" s="5" t="n">
        <v>46128.97511942666</v>
      </c>
      <c r="I16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66">
        <f>IF(AND(Ocorrencias[[#This Row],[Status]]&lt;&gt;"Fechada",TODAY()&gt;Ocorrencias[[#This Row],[Prazo]]),"SIM","")</f>
        <v/>
      </c>
      <c r="K166">
        <f>IFERROR(VLOOKUP(Ocorrencias[[#This Row],[Local]],Unidades!A:B,2,FALSE),"")</f>
        <v/>
      </c>
      <c r="L166" s="7">
        <f>IF(Ocorrencias[[#This Row],[Status]]="Fechada","",TODAY()-Ocorrencias[[#This Row],[DataAbertura]])</f>
        <v/>
      </c>
    </row>
    <row r="167">
      <c r="A167" t="inlineStr">
        <is>
          <t>OS-2830</t>
        </is>
      </c>
      <c r="B167" t="inlineStr">
        <is>
          <t>Portão da área E-09 emperrado</t>
        </is>
      </c>
      <c r="C167" t="inlineStr">
        <is>
          <t>Portão de acesso da área E-09 exige força excessiva para abrir.</t>
        </is>
      </c>
      <c r="D167" t="inlineStr">
        <is>
          <t>Base Operacional Norte</t>
        </is>
      </c>
      <c r="E167" t="inlineStr">
        <is>
          <t>Média</t>
        </is>
      </c>
      <c r="F167" t="inlineStr">
        <is>
          <t>Vagner Pacheco</t>
        </is>
      </c>
      <c r="G167" t="inlineStr">
        <is>
          <t>Fechada</t>
        </is>
      </c>
      <c r="H167" s="5" t="n">
        <v>46129.79235668781</v>
      </c>
      <c r="I16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67">
        <f>IF(AND(Ocorrencias[[#This Row],[Status]]&lt;&gt;"Fechada",TODAY()&gt;Ocorrencias[[#This Row],[Prazo]]),"SIM","")</f>
        <v/>
      </c>
      <c r="K167">
        <f>IFERROR(VLOOKUP(Ocorrencias[[#This Row],[Local]],Unidades!A:B,2,FALSE),"")</f>
        <v/>
      </c>
      <c r="L167" s="7">
        <f>IF(Ocorrencias[[#This Row],[Status]]="Fechada","",TODAY()-Ocorrencias[[#This Row],[DataAbertura]])</f>
        <v/>
      </c>
    </row>
    <row r="168">
      <c r="A168" t="inlineStr">
        <is>
          <t>OS-2831</t>
        </is>
      </c>
      <c r="B168" t="inlineStr">
        <is>
          <t>Troca de filtro do compressor A-05</t>
        </is>
      </c>
      <c r="C168" t="inlineStr">
        <is>
          <t>Filtro de ar do compressor A-05 saturado. Substituição preventiva.</t>
        </is>
      </c>
      <c r="D168" t="inlineStr">
        <is>
          <t>Booster Morada do Sol</t>
        </is>
      </c>
      <c r="E168" t="inlineStr">
        <is>
          <t>Alta</t>
        </is>
      </c>
      <c r="F168" t="inlineStr">
        <is>
          <t>Zeca Moraes</t>
        </is>
      </c>
      <c r="G168" t="inlineStr">
        <is>
          <t>Fechada</t>
        </is>
      </c>
      <c r="H168" s="5" t="n">
        <v>46130.59501061562</v>
      </c>
      <c r="I16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68">
        <f>IF(AND(Ocorrencias[[#This Row],[Status]]&lt;&gt;"Fechada",TODAY()&gt;Ocorrencias[[#This Row],[Prazo]]),"SIM","")</f>
        <v/>
      </c>
      <c r="K168">
        <f>IFERROR(VLOOKUP(Ocorrencias[[#This Row],[Local]],Unidades!A:B,2,FALSE),"")</f>
        <v/>
      </c>
      <c r="L168" s="7">
        <f>IF(Ocorrencias[[#This Row],[Status]]="Fechada","",TODAY()-Ocorrencias[[#This Row],[DataAbertura]])</f>
        <v/>
      </c>
    </row>
    <row r="169">
      <c r="A169" t="inlineStr">
        <is>
          <t>OS-2832</t>
        </is>
      </c>
      <c r="B169" t="inlineStr">
        <is>
          <t>Disjuntor desarmando no painel A-04</t>
        </is>
      </c>
      <c r="C169" t="inlineStr">
        <is>
          <t>Disjuntor do painel A-04 desarmou três vezes no turno. Carga dentro do nominal.</t>
        </is>
      </c>
      <c r="D169" t="inlineStr">
        <is>
          <t>Galpão de Materiais</t>
        </is>
      </c>
      <c r="E169" t="inlineStr">
        <is>
          <t>Média</t>
        </is>
      </c>
      <c r="F169" t="inlineStr">
        <is>
          <t>Hugo Albuquerque</t>
        </is>
      </c>
      <c r="G169" t="inlineStr">
        <is>
          <t>Fechada</t>
        </is>
      </c>
      <c r="H169" s="5" t="n">
        <v>46131.39210898788</v>
      </c>
      <c r="I16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69">
        <f>IF(AND(Ocorrencias[[#This Row],[Status]]&lt;&gt;"Fechada",TODAY()&gt;Ocorrencias[[#This Row],[Prazo]]),"SIM","")</f>
        <v/>
      </c>
      <c r="K169">
        <f>IFERROR(VLOOKUP(Ocorrencias[[#This Row],[Local]],Unidades!A:B,2,FALSE),"")</f>
        <v/>
      </c>
      <c r="L169" s="7">
        <f>IF(Ocorrencias[[#This Row],[Status]]="Fechada","",TODAY()-Ocorrencias[[#This Row],[DataAbertura]])</f>
        <v/>
      </c>
    </row>
    <row r="170">
      <c r="A170" t="inlineStr">
        <is>
          <t>OS-2833</t>
        </is>
      </c>
      <c r="B170" t="inlineStr">
        <is>
          <t>Aquecimento no mancal do motor V-31</t>
        </is>
      </c>
      <c r="C170" t="inlineStr">
        <is>
          <t>Mancal do motor V-31 acima da temperatura usual na medição com termômetro infravermelho.</t>
        </is>
      </c>
      <c r="D170" t="inlineStr">
        <is>
          <t>Laboratório de Controle</t>
        </is>
      </c>
      <c r="E170" t="inlineStr">
        <is>
          <t>Alta</t>
        </is>
      </c>
      <c r="F170" t="inlineStr">
        <is>
          <t>Kleber Antunes</t>
        </is>
      </c>
      <c r="G170" t="inlineStr">
        <is>
          <t>Fechada</t>
        </is>
      </c>
      <c r="H170" s="5" t="n">
        <v>46132.14892958236</v>
      </c>
      <c r="I17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70">
        <f>IF(AND(Ocorrencias[[#This Row],[Status]]&lt;&gt;"Fechada",TODAY()&gt;Ocorrencias[[#This Row],[Prazo]]),"SIM","")</f>
        <v/>
      </c>
      <c r="K170">
        <f>IFERROR(VLOOKUP(Ocorrencias[[#This Row],[Local]],Unidades!A:B,2,FALSE),"")</f>
        <v/>
      </c>
      <c r="L170" s="7">
        <f>IF(Ocorrencias[[#This Row],[Status]]="Fechada","",TODAY()-Ocorrencias[[#This Row],[DataAbertura]])</f>
        <v/>
      </c>
    </row>
    <row r="171">
      <c r="A171" t="inlineStr">
        <is>
          <t>OS-2834</t>
        </is>
      </c>
      <c r="B171" t="inlineStr">
        <is>
          <t>Portão da área E-16 emperrado</t>
        </is>
      </c>
      <c r="C171" t="inlineStr">
        <is>
          <t>Portão de acesso da área E-16 exige força excessiva para abrir.</t>
        </is>
      </c>
      <c r="D171" t="inlineStr">
        <is>
          <t>Subestação Leste</t>
        </is>
      </c>
      <c r="E171" t="inlineStr">
        <is>
          <t>Média</t>
        </is>
      </c>
      <c r="F171" t="inlineStr">
        <is>
          <t>Wesley Cardoso</t>
        </is>
      </c>
      <c r="G171" t="inlineStr">
        <is>
          <t>Fechada</t>
        </is>
      </c>
      <c r="H171" s="5" t="n">
        <v>46132.9425557324</v>
      </c>
      <c r="I17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71">
        <f>IF(AND(Ocorrencias[[#This Row],[Status]]&lt;&gt;"Fechada",TODAY()&gt;Ocorrencias[[#This Row],[Prazo]]),"SIM","")</f>
        <v/>
      </c>
      <c r="K171">
        <f>IFERROR(VLOOKUP(Ocorrencias[[#This Row],[Local]],Unidades!A:B,2,FALSE),"")</f>
        <v/>
      </c>
      <c r="L171" s="7">
        <f>IF(Ocorrencias[[#This Row],[Status]]="Fechada","",TODAY()-Ocorrencias[[#This Row],[DataAbertura]])</f>
        <v/>
      </c>
    </row>
    <row r="172">
      <c r="A172" t="inlineStr">
        <is>
          <t>OS-2835</t>
        </is>
      </c>
      <c r="B172" t="inlineStr">
        <is>
          <t>Pintura descascada na estrutura G-03</t>
        </is>
      </c>
      <c r="C172" t="inlineStr">
        <is>
          <t>Estrutura metálica G-03 com pontos de corrosão sob a pintura.</t>
        </is>
      </c>
      <c r="D172" t="inlineStr">
        <is>
          <t>Adutora Tronco Sul</t>
        </is>
      </c>
      <c r="E172" t="inlineStr">
        <is>
          <t>Média</t>
        </is>
      </c>
      <c r="F172" t="inlineStr">
        <is>
          <t>Cíntia Freitas</t>
        </is>
      </c>
      <c r="G172" t="inlineStr">
        <is>
          <t>Fechada</t>
        </is>
      </c>
      <c r="H172" s="5" t="n">
        <v>46133.72368188243</v>
      </c>
      <c r="I17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72">
        <f>IF(AND(Ocorrencias[[#This Row],[Status]]&lt;&gt;"Fechada",TODAY()&gt;Ocorrencias[[#This Row],[Prazo]]),"SIM","")</f>
        <v/>
      </c>
      <c r="K172">
        <f>IFERROR(VLOOKUP(Ocorrencias[[#This Row],[Local]],Unidades!A:B,2,FALSE),"")</f>
        <v/>
      </c>
      <c r="L172" s="7">
        <f>IF(Ocorrencias[[#This Row],[Status]]="Fechada","",TODAY()-Ocorrencias[[#This Row],[DataAbertura]])</f>
        <v/>
      </c>
    </row>
    <row r="173">
      <c r="A173" t="inlineStr">
        <is>
          <t>OS-2836</t>
        </is>
      </c>
      <c r="B173" t="inlineStr">
        <is>
          <t>Pintura descascada na estrutura A-07</t>
        </is>
      </c>
      <c r="C173" t="inlineStr">
        <is>
          <t>Estrutura metálica A-07 com pontos de corrosão sob a pintura.</t>
        </is>
      </c>
      <c r="D173" t="inlineStr">
        <is>
          <t>ETE Vale do Sol</t>
        </is>
      </c>
      <c r="E173" t="inlineStr">
        <is>
          <t>Média</t>
        </is>
      </c>
      <c r="F173" t="inlineStr">
        <is>
          <t>Aline Rocha</t>
        </is>
      </c>
      <c r="G173" t="inlineStr">
        <is>
          <t>Fechada</t>
        </is>
      </c>
      <c r="H173" s="5" t="n">
        <v>46134.56383581024</v>
      </c>
      <c r="I17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73">
        <f>IF(AND(Ocorrencias[[#This Row],[Status]]&lt;&gt;"Fechada",TODAY()&gt;Ocorrencias[[#This Row],[Prazo]]),"SIM","")</f>
        <v/>
      </c>
      <c r="K173">
        <f>IFERROR(VLOOKUP(Ocorrencias[[#This Row],[Local]],Unidades!A:B,2,FALSE),"")</f>
        <v/>
      </c>
      <c r="L173" s="7">
        <f>IF(Ocorrencias[[#This Row],[Status]]="Fechada","",TODAY()-Ocorrencias[[#This Row],[DataAbertura]])</f>
        <v/>
      </c>
    </row>
    <row r="174">
      <c r="A174" t="inlineStr">
        <is>
          <t>OS-2837</t>
        </is>
      </c>
      <c r="B174" t="inlineStr">
        <is>
          <t>Aquecimento no mancal do motor A-13</t>
        </is>
      </c>
      <c r="C174" t="inlineStr">
        <is>
          <t>Mancal do motor A-13 acima da temperatura usual na medição com termômetro infravermelho.</t>
        </is>
      </c>
      <c r="D174" t="inlineStr">
        <is>
          <t>Booster Morada do Sol</t>
        </is>
      </c>
      <c r="E174" t="inlineStr">
        <is>
          <t>Baixa</t>
        </is>
      </c>
      <c r="F174" t="inlineStr">
        <is>
          <t>Juliana Aguiar</t>
        </is>
      </c>
      <c r="G174" t="inlineStr">
        <is>
          <t>Fechada</t>
        </is>
      </c>
      <c r="H174" s="5" t="n">
        <v>46135.31510084917</v>
      </c>
      <c r="I17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74">
        <f>IF(AND(Ocorrencias[[#This Row],[Status]]&lt;&gt;"Fechada",TODAY()&gt;Ocorrencias[[#This Row],[Prazo]]),"SIM","")</f>
        <v/>
      </c>
      <c r="K174">
        <f>IFERROR(VLOOKUP(Ocorrencias[[#This Row],[Local]],Unidades!A:B,2,FALSE),"")</f>
        <v/>
      </c>
      <c r="L174" s="7">
        <f>IF(Ocorrencias[[#This Row],[Status]]="Fechada","",TODAY()-Ocorrencias[[#This Row],[DataAbertura]])</f>
        <v/>
      </c>
    </row>
    <row r="175">
      <c r="A175" t="inlineStr">
        <is>
          <t>OS-2838</t>
        </is>
      </c>
      <c r="B175" t="inlineStr">
        <is>
          <t>Sensor de nível sem leitura no tanque G-01</t>
        </is>
      </c>
      <c r="C175" t="inlineStr">
        <is>
          <t>Supervisório mostra leitura congelada do sensor de nível do tanque G-01.</t>
        </is>
      </c>
      <c r="D175" t="inlineStr">
        <is>
          <t>Estação Elevatória Leste</t>
        </is>
      </c>
      <c r="E175" t="inlineStr">
        <is>
          <t>Alta</t>
        </is>
      </c>
      <c r="F175" t="inlineStr">
        <is>
          <t>Kleber Antunes</t>
        </is>
      </c>
      <c r="G175" t="inlineStr">
        <is>
          <t>Fechada</t>
        </is>
      </c>
      <c r="H175" s="5" t="n">
        <v>46136.11358811031</v>
      </c>
      <c r="I17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75">
        <f>IF(AND(Ocorrencias[[#This Row],[Status]]&lt;&gt;"Fechada",TODAY()&gt;Ocorrencias[[#This Row],[Prazo]]),"SIM","")</f>
        <v/>
      </c>
      <c r="K175">
        <f>IFERROR(VLOOKUP(Ocorrencias[[#This Row],[Local]],Unidades!A:B,2,FALSE),"")</f>
        <v/>
      </c>
      <c r="L175" s="7">
        <f>IF(Ocorrencias[[#This Row],[Status]]="Fechada","",TODAY()-Ocorrencias[[#This Row],[DataAbertura]])</f>
        <v/>
      </c>
    </row>
    <row r="176">
      <c r="A176" t="inlineStr">
        <is>
          <t>OS-2839</t>
        </is>
      </c>
      <c r="B176" t="inlineStr">
        <is>
          <t>Vazamento na bomba G-08</t>
        </is>
      </c>
      <c r="C176" t="inlineStr">
        <is>
          <t>Vazamento pelo selo mecânico da bomba G-08. Piso molhado ao redor da base.</t>
        </is>
      </c>
      <c r="D176" t="inlineStr">
        <is>
          <t>Adutora Tronco Norte</t>
        </is>
      </c>
      <c r="E176" t="inlineStr">
        <is>
          <t>Alta</t>
        </is>
      </c>
      <c r="F176" t="inlineStr">
        <is>
          <t>Igor Fonseca</t>
        </is>
      </c>
      <c r="G176" t="inlineStr">
        <is>
          <t>Fechada</t>
        </is>
      </c>
      <c r="H176" s="5" t="n">
        <v>46136.94888092701</v>
      </c>
      <c r="I17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76">
        <f>IF(AND(Ocorrencias[[#This Row],[Status]]&lt;&gt;"Fechada",TODAY()&gt;Ocorrencias[[#This Row],[Prazo]]),"SIM","")</f>
        <v/>
      </c>
      <c r="K176">
        <f>IFERROR(VLOOKUP(Ocorrencias[[#This Row],[Local]],Unidades!A:B,2,FALSE),"")</f>
        <v/>
      </c>
      <c r="L176" s="7">
        <f>IF(Ocorrencias[[#This Row],[Status]]="Fechada","",TODAY()-Ocorrencias[[#This Row],[DataAbertura]])</f>
        <v/>
      </c>
    </row>
    <row r="177">
      <c r="A177" t="inlineStr">
        <is>
          <t>OS-2840</t>
        </is>
      </c>
      <c r="B177" t="inlineStr">
        <is>
          <t>Ar-condicionado da sala T-17 sem refrigerar</t>
        </is>
      </c>
      <c r="C177" t="inlineStr">
        <is>
          <t>Ar-condicionado da sala de painéis T-17 ligado sem refrigerar.</t>
        </is>
      </c>
      <c r="D177" t="inlineStr">
        <is>
          <t>Base Operacional Sul</t>
        </is>
      </c>
      <c r="E177" t="inlineStr">
        <is>
          <t>Baixa</t>
        </is>
      </c>
      <c r="F177" t="inlineStr">
        <is>
          <t>Natália Cordeiro</t>
        </is>
      </c>
      <c r="G177" t="inlineStr">
        <is>
          <t>Fechada</t>
        </is>
      </c>
      <c r="H177" s="5" t="n">
        <v>46137.70709041038</v>
      </c>
      <c r="I17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77">
        <f>IF(AND(Ocorrencias[[#This Row],[Status]]&lt;&gt;"Fechada",TODAY()&gt;Ocorrencias[[#This Row],[Prazo]]),"SIM","")</f>
        <v/>
      </c>
      <c r="K177">
        <f>IFERROR(VLOOKUP(Ocorrencias[[#This Row],[Local]],Unidades!A:B,2,FALSE),"")</f>
        <v/>
      </c>
      <c r="L177" s="7">
        <f>IF(Ocorrencias[[#This Row],[Status]]="Fechada","",TODAY()-Ocorrencias[[#This Row],[DataAbertura]])</f>
        <v/>
      </c>
    </row>
    <row r="178">
      <c r="A178" t="inlineStr">
        <is>
          <t>OS-2841</t>
        </is>
      </c>
      <c r="B178" t="inlineStr">
        <is>
          <t>Medidor de vazão C-37 com leitura instável</t>
        </is>
      </c>
      <c r="C178" t="inlineStr">
        <is>
          <t>Medidor de vazão C-37 oscila sem variação de processo.</t>
        </is>
      </c>
      <c r="D178" t="inlineStr">
        <is>
          <t>Adutora Tronco Norte</t>
        </is>
      </c>
      <c r="E178" t="inlineStr">
        <is>
          <t>Crítica</t>
        </is>
      </c>
      <c r="F178" t="inlineStr">
        <is>
          <t>Natália Cordeiro</t>
        </is>
      </c>
      <c r="G178" t="inlineStr">
        <is>
          <t>Fechada</t>
        </is>
      </c>
      <c r="H178" s="5" t="n">
        <v>46138.49793878264</v>
      </c>
      <c r="I17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78">
        <f>IF(AND(Ocorrencias[[#This Row],[Status]]&lt;&gt;"Fechada",TODAY()&gt;Ocorrencias[[#This Row],[Prazo]]),"SIM","")</f>
        <v/>
      </c>
      <c r="K178">
        <f>IFERROR(VLOOKUP(Ocorrencias[[#This Row],[Local]],Unidades!A:B,2,FALSE),"")</f>
        <v/>
      </c>
      <c r="L178" s="7">
        <f>IF(Ocorrencias[[#This Row],[Status]]="Fechada","",TODAY()-Ocorrencias[[#This Row],[DataAbertura]])</f>
        <v/>
      </c>
    </row>
    <row r="179">
      <c r="A179" t="inlineStr">
        <is>
          <t>OS-2842</t>
        </is>
      </c>
      <c r="B179" t="inlineStr">
        <is>
          <t>Tomada sem energia na sala H-05</t>
        </is>
      </c>
      <c r="C179" t="inlineStr">
        <is>
          <t>Tomada de serviço da sala H-05 sem tensão.</t>
        </is>
      </c>
      <c r="D179" t="inlineStr">
        <is>
          <t>Estação Elevatória Oeste</t>
        </is>
      </c>
      <c r="E179" t="inlineStr">
        <is>
          <t>Baixa</t>
        </is>
      </c>
      <c r="F179" t="inlineStr">
        <is>
          <t>Igor Fonseca</t>
        </is>
      </c>
      <c r="G179" t="inlineStr">
        <is>
          <t>Fechada</t>
        </is>
      </c>
      <c r="H179" s="5" t="n">
        <v>46139.28531493268</v>
      </c>
      <c r="I17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79">
        <f>IF(AND(Ocorrencias[[#This Row],[Status]]&lt;&gt;"Fechada",TODAY()&gt;Ocorrencias[[#This Row],[Prazo]]),"SIM","")</f>
        <v/>
      </c>
      <c r="K179">
        <f>IFERROR(VLOOKUP(Ocorrencias[[#This Row],[Local]],Unidades!A:B,2,FALSE),"")</f>
        <v/>
      </c>
      <c r="L179" s="7">
        <f>IF(Ocorrencias[[#This Row],[Status]]="Fechada","",TODAY()-Ocorrencias[[#This Row],[DataAbertura]])</f>
        <v/>
      </c>
    </row>
    <row r="180">
      <c r="A180" t="inlineStr">
        <is>
          <t>OS-2843</t>
        </is>
      </c>
      <c r="B180" t="inlineStr">
        <is>
          <t>Disjuntor desarmando no painel V-09</t>
        </is>
      </c>
      <c r="C180" t="inlineStr">
        <is>
          <t>Disjuntor do painel V-09 desarmou três vezes no turno. Carga dentro do nominal.</t>
        </is>
      </c>
      <c r="D180" t="inlineStr">
        <is>
          <t>Booster Morada do Sol</t>
        </is>
      </c>
      <c r="E180" t="inlineStr">
        <is>
          <t>Alta</t>
        </is>
      </c>
      <c r="F180" t="inlineStr">
        <is>
          <t>Jonas Teles</t>
        </is>
      </c>
      <c r="G180" t="inlineStr">
        <is>
          <t>Fechada</t>
        </is>
      </c>
      <c r="H180" s="5" t="n">
        <v>46140.12963552716</v>
      </c>
      <c r="I18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80">
        <f>IF(AND(Ocorrencias[[#This Row],[Status]]&lt;&gt;"Fechada",TODAY()&gt;Ocorrencias[[#This Row],[Prazo]]),"SIM","")</f>
        <v/>
      </c>
      <c r="K180">
        <f>IFERROR(VLOOKUP(Ocorrencias[[#This Row],[Local]],Unidades!A:B,2,FALSE),"")</f>
        <v/>
      </c>
      <c r="L180" s="7">
        <f>IF(Ocorrencias[[#This Row],[Status]]="Fechada","",TODAY()-Ocorrencias[[#This Row],[DataAbertura]])</f>
        <v/>
      </c>
    </row>
    <row r="181">
      <c r="A181" t="inlineStr">
        <is>
          <t>OS-2844</t>
        </is>
      </c>
      <c r="B181" t="inlineStr">
        <is>
          <t>Correia do ventilador E-32 desgastada</t>
        </is>
      </c>
      <c r="C181" t="inlineStr">
        <is>
          <t>Correia do ventilador E-32 com trincas visíveis e folga excessiva.</t>
        </is>
      </c>
      <c r="D181" t="inlineStr">
        <is>
          <t>Booster Morada do Sol</t>
        </is>
      </c>
      <c r="E181" t="inlineStr">
        <is>
          <t>Baixa</t>
        </is>
      </c>
      <c r="F181" t="inlineStr">
        <is>
          <t>Lívia Montenegro</t>
        </is>
      </c>
      <c r="G181" t="inlineStr">
        <is>
          <t>Fechada</t>
        </is>
      </c>
      <c r="H181" s="5" t="n">
        <v>46140.87603945497</v>
      </c>
      <c r="I18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81">
        <f>IF(AND(Ocorrencias[[#This Row],[Status]]&lt;&gt;"Fechada",TODAY()&gt;Ocorrencias[[#This Row],[Prazo]]),"SIM","")</f>
        <v/>
      </c>
      <c r="K181">
        <f>IFERROR(VLOOKUP(Ocorrencias[[#This Row],[Local]],Unidades!A:B,2,FALSE),"")</f>
        <v/>
      </c>
      <c r="L181" s="7">
        <f>IF(Ocorrencias[[#This Row],[Status]]="Fechada","",TODAY()-Ocorrencias[[#This Row],[DataAbertura]])</f>
        <v/>
      </c>
    </row>
    <row r="182">
      <c r="A182" t="inlineStr">
        <is>
          <t>OS-2845</t>
        </is>
      </c>
      <c r="B182" t="inlineStr">
        <is>
          <t>Bomba dosadora M-26 sem recalque</t>
        </is>
      </c>
      <c r="C182" t="inlineStr">
        <is>
          <t>Bomba dosadora M-26 liga mas não dosa. Mangueira sem obstrução aparente.</t>
        </is>
      </c>
      <c r="D182" t="inlineStr">
        <is>
          <t>Usina Fotovoltaica Cerrado</t>
        </is>
      </c>
      <c r="E182" t="inlineStr">
        <is>
          <t>Crítica</t>
        </is>
      </c>
      <c r="F182" t="inlineStr">
        <is>
          <t>Zeca Moraes</t>
        </is>
      </c>
      <c r="G182" t="inlineStr">
        <is>
          <t>Fechada</t>
        </is>
      </c>
      <c r="H182" s="5" t="n">
        <v>46141.70022116056</v>
      </c>
      <c r="I18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82">
        <f>IF(AND(Ocorrencias[[#This Row],[Status]]&lt;&gt;"Fechada",TODAY()&gt;Ocorrencias[[#This Row],[Prazo]]),"SIM","")</f>
        <v/>
      </c>
      <c r="K182">
        <f>IFERROR(VLOOKUP(Ocorrencias[[#This Row],[Local]],Unidades!A:B,2,FALSE),"")</f>
        <v/>
      </c>
      <c r="L182" s="7">
        <f>IF(Ocorrencias[[#This Row],[Status]]="Fechada","",TODAY()-Ocorrencias[[#This Row],[DataAbertura]])</f>
        <v/>
      </c>
    </row>
    <row r="183">
      <c r="A183" t="inlineStr">
        <is>
          <t>OS-2846</t>
        </is>
      </c>
      <c r="B183" t="inlineStr">
        <is>
          <t>Medidor de vazão D-19 com leitura instável</t>
        </is>
      </c>
      <c r="C183" t="inlineStr">
        <is>
          <t>Medidor de vazão D-19 oscila sem variação de processo.</t>
        </is>
      </c>
      <c r="D183" t="inlineStr">
        <is>
          <t>Captação Lagoa Seca</t>
        </is>
      </c>
      <c r="E183" t="inlineStr">
        <is>
          <t>Baixa</t>
        </is>
      </c>
      <c r="F183" t="inlineStr">
        <is>
          <t>Vagner Pacheco</t>
        </is>
      </c>
      <c r="G183" t="inlineStr">
        <is>
          <t>Fechada</t>
        </is>
      </c>
      <c r="H183" s="5" t="n">
        <v>46142.50704175504</v>
      </c>
      <c r="I18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83">
        <f>IF(AND(Ocorrencias[[#This Row],[Status]]&lt;&gt;"Fechada",TODAY()&gt;Ocorrencias[[#This Row],[Prazo]]),"SIM","")</f>
        <v/>
      </c>
      <c r="K183">
        <f>IFERROR(VLOOKUP(Ocorrencias[[#This Row],[Local]],Unidades!A:B,2,FALSE),"")</f>
        <v/>
      </c>
      <c r="L183" s="7">
        <f>IF(Ocorrencias[[#This Row],[Status]]="Fechada","",TODAY()-Ocorrencias[[#This Row],[DataAbertura]])</f>
        <v/>
      </c>
    </row>
    <row r="184">
      <c r="A184" t="inlineStr">
        <is>
          <t>OS-2847</t>
        </is>
      </c>
      <c r="B184" t="inlineStr">
        <is>
          <t>Medidor de vazão T-10 com leitura instável</t>
        </is>
      </c>
      <c r="C184" t="inlineStr">
        <is>
          <t>Medidor de vazão T-10 oscila sem variação de processo.</t>
        </is>
      </c>
      <c r="D184" t="inlineStr">
        <is>
          <t>Pátio de Veículos</t>
        </is>
      </c>
      <c r="E184" t="inlineStr">
        <is>
          <t>Alta</t>
        </is>
      </c>
      <c r="F184" t="inlineStr">
        <is>
          <t>Danilo Peixoto</t>
        </is>
      </c>
      <c r="G184" t="inlineStr">
        <is>
          <t>Fechada</t>
        </is>
      </c>
      <c r="H184" s="5" t="n">
        <v>46143.26941790507</v>
      </c>
      <c r="I18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84">
        <f>IF(AND(Ocorrencias[[#This Row],[Status]]&lt;&gt;"Fechada",TODAY()&gt;Ocorrencias[[#This Row],[Prazo]]),"SIM","")</f>
        <v/>
      </c>
      <c r="K184">
        <f>IFERROR(VLOOKUP(Ocorrencias[[#This Row],[Local]],Unidades!A:B,2,FALSE),"")</f>
        <v/>
      </c>
      <c r="L184" s="7">
        <f>IF(Ocorrencias[[#This Row],[Status]]="Fechada","",TODAY()-Ocorrencias[[#This Row],[DataAbertura]])</f>
        <v/>
      </c>
    </row>
    <row r="185">
      <c r="A185" t="inlineStr">
        <is>
          <t>OS-2848</t>
        </is>
      </c>
      <c r="B185" t="inlineStr">
        <is>
          <t>Portão da área C-11 emperrado</t>
        </is>
      </c>
      <c r="C185" t="inlineStr">
        <is>
          <t>Portão de acesso da área C-11 exige força excessiva para abrir.</t>
        </is>
      </c>
      <c r="D185" t="inlineStr">
        <is>
          <t>Estação de Bombeamento Vila Nova</t>
        </is>
      </c>
      <c r="E185" t="inlineStr">
        <is>
          <t>Média</t>
        </is>
      </c>
      <c r="F185" t="inlineStr">
        <is>
          <t>Hugo Albuquerque</t>
        </is>
      </c>
      <c r="G185" t="inlineStr">
        <is>
          <t>Em andamento</t>
        </is>
      </c>
      <c r="H185" s="5" t="n">
        <v>46144.05887738844</v>
      </c>
      <c r="I18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85">
        <f>IF(AND(Ocorrencias[[#This Row],[Status]]&lt;&gt;"Fechada",TODAY()&gt;Ocorrencias[[#This Row],[Prazo]]),"SIM","")</f>
        <v/>
      </c>
      <c r="K185">
        <f>IFERROR(VLOOKUP(Ocorrencias[[#This Row],[Local]],Unidades!A:B,2,FALSE),"")</f>
        <v/>
      </c>
      <c r="L185" s="7">
        <f>IF(Ocorrencias[[#This Row],[Status]]="Fechada","",TODAY()-Ocorrencias[[#This Row],[DataAbertura]])</f>
        <v/>
      </c>
    </row>
    <row r="186">
      <c r="A186" t="inlineStr">
        <is>
          <t>OS-2849</t>
        </is>
      </c>
      <c r="B186" t="inlineStr">
        <is>
          <t>Medidor de vazão F-29 com leitura instável</t>
        </is>
      </c>
      <c r="C186" t="inlineStr">
        <is>
          <t>Medidor de vazão F-29 oscila sem variação de processo.</t>
        </is>
      </c>
      <c r="D186" t="inlineStr">
        <is>
          <t>Subestação Norte</t>
        </is>
      </c>
      <c r="E186" t="inlineStr">
        <is>
          <t>Média</t>
        </is>
      </c>
      <c r="G186" t="inlineStr">
        <is>
          <t>Fechada</t>
        </is>
      </c>
      <c r="H186" s="5" t="n">
        <v>46144.87819798291</v>
      </c>
      <c r="I18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86">
        <f>IF(AND(Ocorrencias[[#This Row],[Status]]&lt;&gt;"Fechada",TODAY()&gt;Ocorrencias[[#This Row],[Prazo]]),"SIM","")</f>
        <v/>
      </c>
      <c r="K186">
        <f>IFERROR(VLOOKUP(Ocorrencias[[#This Row],[Local]],Unidades!A:B,2,FALSE),"")</f>
        <v/>
      </c>
      <c r="L186" s="7">
        <f>IF(Ocorrencias[[#This Row],[Status]]="Fechada","",TODAY()-Ocorrencias[[#This Row],[DataAbertura]])</f>
        <v/>
      </c>
    </row>
    <row r="187">
      <c r="A187" t="inlineStr">
        <is>
          <t>OS-2850</t>
        </is>
      </c>
      <c r="B187" t="inlineStr">
        <is>
          <t>Aquecimento no mancal do motor E-40</t>
        </is>
      </c>
      <c r="C187" t="inlineStr">
        <is>
          <t>Mancal do motor E-40 acima da temperatura usual na medição com termômetro infravermelho.</t>
        </is>
      </c>
      <c r="D187" t="inlineStr">
        <is>
          <t>Usina Fotovoltaica Planalto</t>
        </is>
      </c>
      <c r="E187" t="inlineStr">
        <is>
          <t>Alta</t>
        </is>
      </c>
      <c r="F187" t="inlineStr">
        <is>
          <t>Zeca Moraes</t>
        </is>
      </c>
      <c r="G187" t="inlineStr">
        <is>
          <t>Fechada</t>
        </is>
      </c>
      <c r="H187" s="5" t="n">
        <v>46145.66140746629</v>
      </c>
      <c r="I18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87">
        <f>IF(AND(Ocorrencias[[#This Row],[Status]]&lt;&gt;"Fechada",TODAY()&gt;Ocorrencias[[#This Row],[Prazo]]),"SIM","")</f>
        <v/>
      </c>
      <c r="K187">
        <f>IFERROR(VLOOKUP(Ocorrencias[[#This Row],[Local]],Unidades!A:B,2,FALSE),"")</f>
        <v/>
      </c>
      <c r="L187" s="7">
        <f>IF(Ocorrencias[[#This Row],[Status]]="Fechada","",TODAY()-Ocorrencias[[#This Row],[DataAbertura]])</f>
        <v/>
      </c>
    </row>
    <row r="188">
      <c r="A188" t="inlineStr">
        <is>
          <t>OS-2851</t>
        </is>
      </c>
      <c r="B188" t="inlineStr">
        <is>
          <t>Troca de filtro do compressor A-19</t>
        </is>
      </c>
      <c r="C188" t="inlineStr">
        <is>
          <t>Filtro de ar do compressor A-19 saturado. Substituição preventiva.</t>
        </is>
      </c>
      <c r="D188" t="inlineStr">
        <is>
          <t>Estação Elevatória Oeste</t>
        </is>
      </c>
      <c r="E188" t="inlineStr">
        <is>
          <t>Média</t>
        </is>
      </c>
      <c r="F188" t="inlineStr">
        <is>
          <t>Flávio Gusmão</t>
        </is>
      </c>
      <c r="G188" t="inlineStr">
        <is>
          <t>Fechada</t>
        </is>
      </c>
      <c r="H188" s="5" t="n">
        <v>46146.48489472743</v>
      </c>
      <c r="I18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88">
        <f>IF(AND(Ocorrencias[[#This Row],[Status]]&lt;&gt;"Fechada",TODAY()&gt;Ocorrencias[[#This Row],[Prazo]]),"SIM","")</f>
        <v/>
      </c>
      <c r="K188">
        <f>IFERROR(VLOOKUP(Ocorrencias[[#This Row],[Local]],Unidades!A:B,2,FALSE),"")</f>
        <v/>
      </c>
      <c r="L188" s="7">
        <f>IF(Ocorrencias[[#This Row],[Status]]="Fechada","",TODAY()-Ocorrencias[[#This Row],[DataAbertura]])</f>
        <v/>
      </c>
    </row>
    <row r="189">
      <c r="A189" t="inlineStr">
        <is>
          <t>OS-2852</t>
        </is>
      </c>
      <c r="B189" t="inlineStr">
        <is>
          <t>Vazamento na bomba R-27</t>
        </is>
      </c>
      <c r="C189" t="inlineStr">
        <is>
          <t>Vazamento pelo selo mecânico da bomba R-27. Piso molhado ao redor da base.</t>
        </is>
      </c>
      <c r="D189" t="inlineStr">
        <is>
          <t>Reservatório Alto da Colina</t>
        </is>
      </c>
      <c r="E189" t="inlineStr">
        <is>
          <t>Crítica</t>
        </is>
      </c>
      <c r="F189" t="inlineStr">
        <is>
          <t>Otávio Lacerda</t>
        </is>
      </c>
      <c r="G189" t="inlineStr">
        <is>
          <t>Fechada</t>
        </is>
      </c>
      <c r="H189" s="5" t="n">
        <v>46147.24379865524</v>
      </c>
      <c r="I18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89">
        <f>IF(AND(Ocorrencias[[#This Row],[Status]]&lt;&gt;"Fechada",TODAY()&gt;Ocorrencias[[#This Row],[Prazo]]),"SIM","")</f>
        <v/>
      </c>
      <c r="K189">
        <f>IFERROR(VLOOKUP(Ocorrencias[[#This Row],[Local]],Unidades!A:B,2,FALSE),"")</f>
        <v/>
      </c>
      <c r="L189" s="7">
        <f>IF(Ocorrencias[[#This Row],[Status]]="Fechada","",TODAY()-Ocorrencias[[#This Row],[DataAbertura]])</f>
        <v/>
      </c>
    </row>
    <row r="190">
      <c r="A190" t="inlineStr">
        <is>
          <t>OS-2853</t>
        </is>
      </c>
      <c r="B190" t="inlineStr">
        <is>
          <t>Infiltração na parede da casa de bombas E-33</t>
        </is>
      </c>
      <c r="C190" t="inlineStr">
        <is>
          <t>Mancha de umidade crescente na parede da casa de bombas E-33.</t>
        </is>
      </c>
      <c r="D190" t="inlineStr">
        <is>
          <t>Base Operacional Norte</t>
        </is>
      </c>
      <c r="E190" t="inlineStr">
        <is>
          <t>Média</t>
        </is>
      </c>
      <c r="F190" t="inlineStr">
        <is>
          <t>Kleber Antunes</t>
        </is>
      </c>
      <c r="G190" t="inlineStr">
        <is>
          <t>Fechada</t>
        </is>
      </c>
      <c r="H190" s="5" t="n">
        <v>46148.0471470275</v>
      </c>
      <c r="I19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90">
        <f>IF(AND(Ocorrencias[[#This Row],[Status]]&lt;&gt;"Fechada",TODAY()&gt;Ocorrencias[[#This Row],[Prazo]]),"SIM","")</f>
        <v/>
      </c>
      <c r="K190">
        <f>IFERROR(VLOOKUP(Ocorrencias[[#This Row],[Local]],Unidades!A:B,2,FALSE),"")</f>
        <v/>
      </c>
      <c r="L190" s="7">
        <f>IF(Ocorrencias[[#This Row],[Status]]="Fechada","",TODAY()-Ocorrencias[[#This Row],[DataAbertura]])</f>
        <v/>
      </c>
    </row>
    <row r="191">
      <c r="A191" t="inlineStr">
        <is>
          <t>OS-2854</t>
        </is>
      </c>
      <c r="B191" t="inlineStr">
        <is>
          <t>Correia do ventilador P-31 desgastada</t>
        </is>
      </c>
      <c r="C191" t="inlineStr">
        <is>
          <t>Correia do ventilador P-31 com trincas visíveis e folga excessiva.</t>
        </is>
      </c>
      <c r="D191" t="inlineStr">
        <is>
          <t>Subestação Norte</t>
        </is>
      </c>
      <c r="E191" t="inlineStr">
        <is>
          <t>Média</t>
        </is>
      </c>
      <c r="F191" t="inlineStr">
        <is>
          <t>Bernardo Leal</t>
        </is>
      </c>
      <c r="G191" t="inlineStr">
        <is>
          <t>Fechada</t>
        </is>
      </c>
      <c r="H191" s="5" t="n">
        <v>46148.84077317754</v>
      </c>
      <c r="I19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91">
        <f>IF(AND(Ocorrencias[[#This Row],[Status]]&lt;&gt;"Fechada",TODAY()&gt;Ocorrencias[[#This Row],[Prazo]]),"SIM","")</f>
        <v/>
      </c>
      <c r="K191">
        <f>IFERROR(VLOOKUP(Ocorrencias[[#This Row],[Local]],Unidades!A:B,2,FALSE),"")</f>
        <v/>
      </c>
      <c r="L191" s="7">
        <f>IF(Ocorrencias[[#This Row],[Status]]="Fechada","",TODAY()-Ocorrencias[[#This Row],[DataAbertura]])</f>
        <v/>
      </c>
    </row>
    <row r="192">
      <c r="A192" t="inlineStr">
        <is>
          <t>OS-2855</t>
        </is>
      </c>
      <c r="B192" t="inlineStr">
        <is>
          <t>Medidor de vazão F-19 com leitura instável</t>
        </is>
      </c>
      <c r="C192" t="inlineStr">
        <is>
          <t>Medidor de vazão F-19 oscila sem variação de processo.</t>
        </is>
      </c>
      <c r="D192" t="inlineStr">
        <is>
          <t>Oficina Elétrica Central</t>
        </is>
      </c>
      <c r="E192" t="inlineStr">
        <is>
          <t>Média</t>
        </is>
      </c>
      <c r="F192" t="inlineStr">
        <is>
          <t>Caio Rangel</t>
        </is>
      </c>
      <c r="G192" t="inlineStr">
        <is>
          <t>Fechada</t>
        </is>
      </c>
      <c r="H192" s="5" t="n">
        <v>46149.64412154979</v>
      </c>
      <c r="I19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92">
        <f>IF(AND(Ocorrencias[[#This Row],[Status]]&lt;&gt;"Fechada",TODAY()&gt;Ocorrencias[[#This Row],[Prazo]]),"SIM","")</f>
        <v/>
      </c>
      <c r="K192">
        <f>IFERROR(VLOOKUP(Ocorrencias[[#This Row],[Local]],Unidades!A:B,2,FALSE),"")</f>
        <v/>
      </c>
      <c r="L192" s="7">
        <f>IF(Ocorrencias[[#This Row],[Status]]="Fechada","",TODAY()-Ocorrencias[[#This Row],[DataAbertura]])</f>
        <v/>
      </c>
    </row>
    <row r="193">
      <c r="A193" t="inlineStr">
        <is>
          <t>OS-2856</t>
        </is>
      </c>
      <c r="B193" t="inlineStr">
        <is>
          <t>Infiltração na parede da casa de bombas M-12</t>
        </is>
      </c>
      <c r="C193" t="inlineStr">
        <is>
          <t>Mancha de umidade crescente na parede da casa de bombas M-12.</t>
        </is>
      </c>
      <c r="D193" t="inlineStr">
        <is>
          <t>Reservatório Alto da Colina</t>
        </is>
      </c>
      <c r="E193" t="inlineStr">
        <is>
          <t>Crítica</t>
        </is>
      </c>
      <c r="G193" t="inlineStr">
        <is>
          <t>Aberta</t>
        </is>
      </c>
      <c r="H193" s="5" t="n">
        <v>46150.45996992205</v>
      </c>
      <c r="I19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93">
        <f>IF(AND(Ocorrencias[[#This Row],[Status]]&lt;&gt;"Fechada",TODAY()&gt;Ocorrencias[[#This Row],[Prazo]]),"SIM","")</f>
        <v/>
      </c>
      <c r="K193">
        <f>IFERROR(VLOOKUP(Ocorrencias[[#This Row],[Local]],Unidades!A:B,2,FALSE),"")</f>
        <v/>
      </c>
      <c r="L193" s="7">
        <f>IF(Ocorrencias[[#This Row],[Status]]="Fechada","",TODAY()-Ocorrencias[[#This Row],[DataAbertura]])</f>
        <v/>
      </c>
    </row>
    <row r="194">
      <c r="A194" t="inlineStr">
        <is>
          <t>OS-2857</t>
        </is>
      </c>
      <c r="B194" t="inlineStr">
        <is>
          <t>Lâmpada queimada na área H-25</t>
        </is>
      </c>
      <c r="C194" t="inlineStr">
        <is>
          <t>Iluminação da área H-25 sem funcionar. Reposição de lâmpada e conferência do reator.</t>
        </is>
      </c>
      <c r="D194" t="inlineStr">
        <is>
          <t>Estação de Bombeamento Três Pontes</t>
        </is>
      </c>
      <c r="E194" t="inlineStr">
        <is>
          <t>Baixa</t>
        </is>
      </c>
      <c r="F194" t="inlineStr">
        <is>
          <t>Glória Sampaio</t>
        </is>
      </c>
      <c r="G194" t="inlineStr">
        <is>
          <t>Fechada</t>
        </is>
      </c>
      <c r="H194" s="5" t="n">
        <v>46151.25220718319</v>
      </c>
      <c r="I19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94">
        <f>IF(AND(Ocorrencias[[#This Row],[Status]]&lt;&gt;"Fechada",TODAY()&gt;Ocorrencias[[#This Row],[Prazo]]),"SIM","")</f>
        <v/>
      </c>
      <c r="K194">
        <f>IFERROR(VLOOKUP(Ocorrencias[[#This Row],[Local]],Unidades!A:B,2,FALSE),"")</f>
        <v/>
      </c>
      <c r="L194" s="7">
        <f>IF(Ocorrencias[[#This Row],[Status]]="Fechada","",TODAY()-Ocorrencias[[#This Row],[DataAbertura]])</f>
        <v/>
      </c>
    </row>
    <row r="195">
      <c r="A195" t="inlineStr">
        <is>
          <t>OS-2858</t>
        </is>
      </c>
      <c r="B195" t="inlineStr">
        <is>
          <t>Troca de filtro do compressor H-33</t>
        </is>
      </c>
      <c r="C195" t="inlineStr">
        <is>
          <t>Filtro de ar do compressor H-33 saturado. Substituição preventiva.</t>
        </is>
      </c>
      <c r="D195" t="inlineStr">
        <is>
          <t>Estação Elevatória Oeste</t>
        </is>
      </c>
      <c r="E195" t="inlineStr">
        <is>
          <t>Média</t>
        </is>
      </c>
      <c r="F195" t="inlineStr">
        <is>
          <t>Fernanda Quintela</t>
        </is>
      </c>
      <c r="G195" t="inlineStr">
        <is>
          <t>Fechada</t>
        </is>
      </c>
      <c r="H195" s="5" t="n">
        <v>46152.03055555545</v>
      </c>
      <c r="I19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95">
        <f>IF(AND(Ocorrencias[[#This Row],[Status]]&lt;&gt;"Fechada",TODAY()&gt;Ocorrencias[[#This Row],[Prazo]]),"SIM","")</f>
        <v/>
      </c>
      <c r="K195">
        <f>IFERROR(VLOOKUP(Ocorrencias[[#This Row],[Local]],Unidades!A:B,2,FALSE),"")</f>
        <v/>
      </c>
      <c r="L195" s="7">
        <f>IF(Ocorrencias[[#This Row],[Status]]="Fechada","",TODAY()-Ocorrencias[[#This Row],[DataAbertura]])</f>
        <v/>
      </c>
    </row>
    <row r="196">
      <c r="A196" t="inlineStr">
        <is>
          <t>OS-2859</t>
        </is>
      </c>
      <c r="B196" t="inlineStr">
        <is>
          <t>Vazamento de óleo no redutor V-20</t>
        </is>
      </c>
      <c r="C196" t="inlineStr">
        <is>
          <t>Gotejamento de óleo no redutor V-20. Nível ainda dentro da faixa.</t>
        </is>
      </c>
      <c r="D196" t="inlineStr">
        <is>
          <t>Captação Rio Verde</t>
        </is>
      </c>
      <c r="E196" t="inlineStr">
        <is>
          <t>Média</t>
        </is>
      </c>
      <c r="F196" t="inlineStr">
        <is>
          <t>Jonas Teles</t>
        </is>
      </c>
      <c r="G196" t="inlineStr">
        <is>
          <t>Fechada</t>
        </is>
      </c>
      <c r="H196" s="5" t="n">
        <v>46152.83459837215</v>
      </c>
      <c r="I19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96">
        <f>IF(AND(Ocorrencias[[#This Row],[Status]]&lt;&gt;"Fechada",TODAY()&gt;Ocorrencias[[#This Row],[Prazo]]),"SIM","")</f>
        <v/>
      </c>
      <c r="K196">
        <f>IFERROR(VLOOKUP(Ocorrencias[[#This Row],[Local]],Unidades!A:B,2,FALSE),"")</f>
        <v/>
      </c>
      <c r="L196" s="7">
        <f>IF(Ocorrencias[[#This Row],[Status]]="Fechada","",TODAY()-Ocorrencias[[#This Row],[DataAbertura]])</f>
        <v/>
      </c>
    </row>
    <row r="197">
      <c r="A197" t="inlineStr">
        <is>
          <t>OS-2860</t>
        </is>
      </c>
      <c r="B197" t="inlineStr">
        <is>
          <t>Sensor de nível sem leitura no tanque A-16</t>
        </is>
      </c>
      <c r="C197" t="inlineStr">
        <is>
          <t>Supervisório mostra leitura congelada do sensor de nível do tanque A-16.</t>
        </is>
      </c>
      <c r="D197" t="inlineStr">
        <is>
          <t>ETA Serra Azul</t>
        </is>
      </c>
      <c r="E197" t="inlineStr">
        <is>
          <t>Média</t>
        </is>
      </c>
      <c r="G197" t="inlineStr">
        <is>
          <t>Aberta</t>
        </is>
      </c>
      <c r="H197" s="5" t="n">
        <v>46153.62753007774</v>
      </c>
      <c r="I19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97">
        <f>IF(AND(Ocorrencias[[#This Row],[Status]]&lt;&gt;"Fechada",TODAY()&gt;Ocorrencias[[#This Row],[Prazo]]),"SIM","")</f>
        <v/>
      </c>
      <c r="K197">
        <f>IFERROR(VLOOKUP(Ocorrencias[[#This Row],[Local]],Unidades!A:B,2,FALSE),"")</f>
        <v/>
      </c>
      <c r="L197" s="7">
        <f>IF(Ocorrencias[[#This Row],[Status]]="Fechada","",TODAY()-Ocorrencias[[#This Row],[DataAbertura]])</f>
        <v/>
      </c>
    </row>
    <row r="198">
      <c r="A198" t="inlineStr">
        <is>
          <t>OS-2861</t>
        </is>
      </c>
      <c r="B198" t="inlineStr">
        <is>
          <t>Ruído anormal no motor R-35</t>
        </is>
      </c>
      <c r="C198" t="inlineStr">
        <is>
          <t>Ruído intermitente no motor R-35 durante a partida. Temperatura normal ao toque.</t>
        </is>
      </c>
      <c r="D198" t="inlineStr">
        <is>
          <t>Reservatório Alto da Colina</t>
        </is>
      </c>
      <c r="E198" t="inlineStr">
        <is>
          <t>Baixa</t>
        </is>
      </c>
      <c r="F198" t="inlineStr">
        <is>
          <t>Wesley Cardoso</t>
        </is>
      </c>
      <c r="G198" t="inlineStr">
        <is>
          <t>Fechada</t>
        </is>
      </c>
      <c r="H198" s="5" t="n">
        <v>46154.40379511667</v>
      </c>
      <c r="I19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98">
        <f>IF(AND(Ocorrencias[[#This Row],[Status]]&lt;&gt;"Fechada",TODAY()&gt;Ocorrencias[[#This Row],[Prazo]]),"SIM","")</f>
        <v/>
      </c>
      <c r="K198">
        <f>IFERROR(VLOOKUP(Ocorrencias[[#This Row],[Local]],Unidades!A:B,2,FALSE),"")</f>
        <v/>
      </c>
      <c r="L198" s="7">
        <f>IF(Ocorrencias[[#This Row],[Status]]="Fechada","",TODAY()-Ocorrencias[[#This Row],[DataAbertura]])</f>
        <v/>
      </c>
    </row>
    <row r="199">
      <c r="A199" t="inlineStr">
        <is>
          <t>OS-2862</t>
        </is>
      </c>
      <c r="B199" t="inlineStr">
        <is>
          <t>Infiltração na parede da casa de bombas V-40</t>
        </is>
      </c>
      <c r="C199" t="inlineStr">
        <is>
          <t>Mancha de umidade crescente na parede da casa de bombas V-40.</t>
        </is>
      </c>
      <c r="D199" t="inlineStr">
        <is>
          <t>Subestação Centro</t>
        </is>
      </c>
      <c r="E199" t="inlineStr">
        <is>
          <t>Média</t>
        </is>
      </c>
      <c r="G199" t="inlineStr">
        <is>
          <t>Aberta</t>
        </is>
      </c>
      <c r="H199" s="5" t="n">
        <v>46155.18422682225</v>
      </c>
      <c r="I19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199">
        <f>IF(AND(Ocorrencias[[#This Row],[Status]]&lt;&gt;"Fechada",TODAY()&gt;Ocorrencias[[#This Row],[Prazo]]),"SIM","")</f>
        <v/>
      </c>
      <c r="K199">
        <f>IFERROR(VLOOKUP(Ocorrencias[[#This Row],[Local]],Unidades!A:B,2,FALSE),"")</f>
        <v/>
      </c>
      <c r="L199" s="7">
        <f>IF(Ocorrencias[[#This Row],[Status]]="Fechada","",TODAY()-Ocorrencias[[#This Row],[DataAbertura]])</f>
        <v/>
      </c>
    </row>
    <row r="200">
      <c r="A200" t="inlineStr">
        <is>
          <t>OS-2863</t>
        </is>
      </c>
      <c r="B200" t="inlineStr">
        <is>
          <t>Exaustor P-39 parado</t>
        </is>
      </c>
      <c r="C200" t="inlineStr">
        <is>
          <t>Exaustor P-39 não parte. Fusível íntegro.</t>
        </is>
      </c>
      <c r="D200" t="inlineStr">
        <is>
          <t>Reservatório Alto da Colina</t>
        </is>
      </c>
      <c r="E200" t="inlineStr">
        <is>
          <t>Baixa</t>
        </is>
      </c>
      <c r="F200" t="inlineStr">
        <is>
          <t>Beatriz Farias</t>
        </is>
      </c>
      <c r="G200" t="inlineStr">
        <is>
          <t>Fechada</t>
        </is>
      </c>
      <c r="H200" s="5" t="n">
        <v>46155.97438075007</v>
      </c>
      <c r="I20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00">
        <f>IF(AND(Ocorrencias[[#This Row],[Status]]&lt;&gt;"Fechada",TODAY()&gt;Ocorrencias[[#This Row],[Prazo]]),"SIM","")</f>
        <v/>
      </c>
      <c r="K200">
        <f>IFERROR(VLOOKUP(Ocorrencias[[#This Row],[Local]],Unidades!A:B,2,FALSE),"")</f>
        <v/>
      </c>
      <c r="L200" s="7">
        <f>IF(Ocorrencias[[#This Row],[Status]]="Fechada","",TODAY()-Ocorrencias[[#This Row],[DataAbertura]])</f>
        <v/>
      </c>
    </row>
    <row r="201">
      <c r="A201" t="inlineStr">
        <is>
          <t>OS-2864</t>
        </is>
      </c>
      <c r="B201" t="inlineStr">
        <is>
          <t>Vazamento na bomba D-33</t>
        </is>
      </c>
      <c r="C201" t="inlineStr">
        <is>
          <t>Vazamento pelo selo mecânico da bomba D-33. Piso molhado ao redor da base.</t>
        </is>
      </c>
      <c r="D201" t="inlineStr">
        <is>
          <t>ETA Central</t>
        </is>
      </c>
      <c r="E201" t="inlineStr">
        <is>
          <t>Baixa</t>
        </is>
      </c>
      <c r="F201" t="inlineStr">
        <is>
          <t>Alex Nogueira</t>
        </is>
      </c>
      <c r="G201" t="inlineStr">
        <is>
          <t>Fechada</t>
        </is>
      </c>
      <c r="H201" s="5" t="n">
        <v>46156.75897912233</v>
      </c>
      <c r="I20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01">
        <f>IF(AND(Ocorrencias[[#This Row],[Status]]&lt;&gt;"Fechada",TODAY()&gt;Ocorrencias[[#This Row],[Prazo]]),"SIM","")</f>
        <v/>
      </c>
      <c r="K201">
        <f>IFERROR(VLOOKUP(Ocorrencias[[#This Row],[Local]],Unidades!A:B,2,FALSE),"")</f>
        <v/>
      </c>
      <c r="L201" s="7">
        <f>IF(Ocorrencias[[#This Row],[Status]]="Fechada","",TODAY()-Ocorrencias[[#This Row],[DataAbertura]])</f>
        <v/>
      </c>
    </row>
    <row r="202">
      <c r="A202" t="inlineStr">
        <is>
          <t>OS-2865</t>
        </is>
      </c>
      <c r="B202" t="inlineStr">
        <is>
          <t>Calha entupida no prédio A-06</t>
        </is>
      </c>
      <c r="C202" t="inlineStr">
        <is>
          <t>Calha do prédio A-06 transbordando em dia de chuva.</t>
        </is>
      </c>
      <c r="D202" t="inlineStr">
        <is>
          <t>Base Operacional Sul</t>
        </is>
      </c>
      <c r="E202" t="inlineStr">
        <is>
          <t>Média</t>
        </is>
      </c>
      <c r="F202" t="inlineStr">
        <is>
          <t>Juliana Aguiar</t>
        </is>
      </c>
      <c r="G202" t="inlineStr">
        <is>
          <t>Fechada</t>
        </is>
      </c>
      <c r="H202" s="5" t="n">
        <v>46157.55885527236</v>
      </c>
      <c r="I20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02">
        <f>IF(AND(Ocorrencias[[#This Row],[Status]]&lt;&gt;"Fechada",TODAY()&gt;Ocorrencias[[#This Row],[Prazo]]),"SIM","")</f>
        <v/>
      </c>
      <c r="K202">
        <f>IFERROR(VLOOKUP(Ocorrencias[[#This Row],[Local]],Unidades!A:B,2,FALSE),"")</f>
        <v/>
      </c>
      <c r="L202" s="7">
        <f>IF(Ocorrencias[[#This Row],[Status]]="Fechada","",TODAY()-Ocorrencias[[#This Row],[DataAbertura]])</f>
        <v/>
      </c>
    </row>
    <row r="203">
      <c r="A203" t="inlineStr">
        <is>
          <t>OS-2866</t>
        </is>
      </c>
      <c r="B203" t="inlineStr">
        <is>
          <t>Ar-condicionado da sala P-17 sem refrigerar</t>
        </is>
      </c>
      <c r="C203" t="inlineStr">
        <is>
          <t>Ar-condicionado da sala de painéis P-17 ligado sem refrigerar.</t>
        </is>
      </c>
      <c r="D203" t="inlineStr">
        <is>
          <t>ETE Rio claro</t>
        </is>
      </c>
      <c r="E203" t="inlineStr">
        <is>
          <t>Média</t>
        </is>
      </c>
      <c r="F203" t="inlineStr">
        <is>
          <t>Jonas Teles</t>
        </is>
      </c>
      <c r="G203" t="inlineStr">
        <is>
          <t>Fechada</t>
        </is>
      </c>
      <c r="H203" s="5" t="n"/>
      <c r="I20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03">
        <f>IF(AND(Ocorrencias[[#This Row],[Status]]&lt;&gt;"Fechada",TODAY()&gt;Ocorrencias[[#This Row],[Prazo]]),"SIM","")</f>
        <v/>
      </c>
      <c r="K203">
        <f>IFERROR(VLOOKUP(Ocorrencias[[#This Row],[Local]],Unidades!A:B,2,FALSE),"")</f>
        <v/>
      </c>
      <c r="L203" s="7">
        <f>IF(Ocorrencias[[#This Row],[Status]]="Fechada","",TODAY()-Ocorrencias[[#This Row],[DataAbertura]])</f>
        <v/>
      </c>
    </row>
    <row r="204">
      <c r="A204" t="inlineStr">
        <is>
          <t>OS-2867</t>
        </is>
      </c>
      <c r="B204" t="inlineStr">
        <is>
          <t>Lâmpada queimada na área A-25</t>
        </is>
      </c>
      <c r="C204" t="inlineStr">
        <is>
          <t>Iluminação da área A-25 sem funcionar. Reposição de lâmpada e conferência do reator.</t>
        </is>
      </c>
      <c r="D204" t="inlineStr">
        <is>
          <t>Base Operacional Sul</t>
        </is>
      </c>
      <c r="E204" t="inlineStr">
        <is>
          <t>Baixa</t>
        </is>
      </c>
      <c r="F204" t="inlineStr">
        <is>
          <t>Simone Carvalho</t>
        </is>
      </c>
      <c r="G204" t="inlineStr">
        <is>
          <t>Fechada</t>
        </is>
      </c>
      <c r="H204" s="5" t="n">
        <v>46159.19471868354</v>
      </c>
      <c r="I20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04">
        <f>IF(AND(Ocorrencias[[#This Row],[Status]]&lt;&gt;"Fechada",TODAY()&gt;Ocorrencias[[#This Row],[Prazo]]),"SIM","")</f>
        <v/>
      </c>
      <c r="K204">
        <f>IFERROR(VLOOKUP(Ocorrencias[[#This Row],[Local]],Unidades!A:B,2,FALSE),"")</f>
        <v/>
      </c>
      <c r="L204" s="7">
        <f>IF(Ocorrencias[[#This Row],[Status]]="Fechada","",TODAY()-Ocorrencias[[#This Row],[DataAbertura]])</f>
        <v/>
      </c>
    </row>
    <row r="205">
      <c r="A205" t="inlineStr">
        <is>
          <t>OS-2868</t>
        </is>
      </c>
      <c r="B205" t="inlineStr">
        <is>
          <t>Portão da área E-05 emperrado</t>
        </is>
      </c>
      <c r="C205" t="inlineStr">
        <is>
          <t>Portão de acesso da área E-05 exige força excessiva para abrir.</t>
        </is>
      </c>
      <c r="D205" t="inlineStr">
        <is>
          <t>Base Operacional Norte</t>
        </is>
      </c>
      <c r="E205" t="inlineStr">
        <is>
          <t>Baixa</t>
        </is>
      </c>
      <c r="F205" t="inlineStr">
        <is>
          <t>Simone Carvalho</t>
        </is>
      </c>
      <c r="G205" t="inlineStr">
        <is>
          <t>Fechada</t>
        </is>
      </c>
      <c r="H205" s="5" t="n">
        <v>46159.94737261136</v>
      </c>
      <c r="I20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05">
        <f>IF(AND(Ocorrencias[[#This Row],[Status]]&lt;&gt;"Fechada",TODAY()&gt;Ocorrencias[[#This Row],[Prazo]]),"SIM","")</f>
        <v/>
      </c>
      <c r="K205">
        <f>IFERROR(VLOOKUP(Ocorrencias[[#This Row],[Local]],Unidades!A:B,2,FALSE),"")</f>
        <v/>
      </c>
      <c r="L205" s="7">
        <f>IF(Ocorrencias[[#This Row],[Status]]="Fechada","",TODAY()-Ocorrencias[[#This Row],[DataAbertura]])</f>
        <v/>
      </c>
    </row>
    <row r="206">
      <c r="A206" t="inlineStr">
        <is>
          <t>OS-2869</t>
        </is>
      </c>
      <c r="B206" t="inlineStr">
        <is>
          <t>Vazamento de óleo no redutor H-18</t>
        </is>
      </c>
      <c r="C206" t="inlineStr">
        <is>
          <t>Gotejamento de óleo no redutor H-18. Nível ainda dentro da faixa.</t>
        </is>
      </c>
      <c r="D206" t="inlineStr">
        <is>
          <t>Almoxarifado Central</t>
        </is>
      </c>
      <c r="E206" t="inlineStr">
        <is>
          <t>Alta</t>
        </is>
      </c>
      <c r="F206" t="inlineStr">
        <is>
          <t>Heloísa Barreto</t>
        </is>
      </c>
      <c r="G206" t="inlineStr">
        <is>
          <t>Fechada</t>
        </is>
      </c>
      <c r="H206" s="5" t="n">
        <v>46160.75905431694</v>
      </c>
      <c r="I20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06">
        <f>IF(AND(Ocorrencias[[#This Row],[Status]]&lt;&gt;"Fechada",TODAY()&gt;Ocorrencias[[#This Row],[Prazo]]),"SIM","")</f>
        <v/>
      </c>
      <c r="K206">
        <f>IFERROR(VLOOKUP(Ocorrencias[[#This Row],[Local]],Unidades!A:B,2,FALSE),"")</f>
        <v/>
      </c>
      <c r="L206" s="7">
        <f>IF(Ocorrencias[[#This Row],[Status]]="Fechada","",TODAY()-Ocorrencias[[#This Row],[DataAbertura]])</f>
        <v/>
      </c>
    </row>
    <row r="207">
      <c r="A207" t="inlineStr">
        <is>
          <t>OS-2870</t>
        </is>
      </c>
      <c r="B207" t="inlineStr">
        <is>
          <t>Vazamento de óleo no redutor V-31</t>
        </is>
      </c>
      <c r="C207" t="inlineStr">
        <is>
          <t>Gotejamento de óleo no redutor V-31. Nível ainda dentro da faixa.</t>
        </is>
      </c>
      <c r="D207" t="inlineStr">
        <is>
          <t>Reservatório Santa Luzia</t>
        </is>
      </c>
      <c r="E207" t="inlineStr">
        <is>
          <t>Baixa</t>
        </is>
      </c>
      <c r="F207" t="inlineStr">
        <is>
          <t>Kleber Antunes</t>
        </is>
      </c>
      <c r="G207" t="inlineStr">
        <is>
          <t>Fechada</t>
        </is>
      </c>
      <c r="H207" s="5" t="n">
        <v>46161.5311526892</v>
      </c>
      <c r="I20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07">
        <f>IF(AND(Ocorrencias[[#This Row],[Status]]&lt;&gt;"Fechada",TODAY()&gt;Ocorrencias[[#This Row],[Prazo]]),"SIM","")</f>
        <v/>
      </c>
      <c r="K207">
        <f>IFERROR(VLOOKUP(Ocorrencias[[#This Row],[Local]],Unidades!A:B,2,FALSE),"")</f>
        <v/>
      </c>
      <c r="L207" s="7">
        <f>IF(Ocorrencias[[#This Row],[Status]]="Fechada","",TODAY()-Ocorrencias[[#This Row],[DataAbertura]])</f>
        <v/>
      </c>
    </row>
    <row r="208">
      <c r="A208" t="inlineStr">
        <is>
          <t>OS-2871</t>
        </is>
      </c>
      <c r="B208" t="inlineStr">
        <is>
          <t>Aquecimento no mancal do motor F-06</t>
        </is>
      </c>
      <c r="C208" t="inlineStr">
        <is>
          <t>Mancal do motor F-06 acima da temperatura usual na medição com termômetro infravermelho.</t>
        </is>
      </c>
      <c r="D208" t="inlineStr">
        <is>
          <t>Base Operacional Litoral</t>
        </is>
      </c>
      <c r="E208" t="inlineStr">
        <is>
          <t>Média</t>
        </is>
      </c>
      <c r="F208" t="inlineStr">
        <is>
          <t>Natália Cordeiro</t>
        </is>
      </c>
      <c r="G208" t="inlineStr">
        <is>
          <t>Fechada</t>
        </is>
      </c>
      <c r="H208" s="5" t="n">
        <v>46162.37338995035</v>
      </c>
      <c r="I20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08">
        <f>IF(AND(Ocorrencias[[#This Row],[Status]]&lt;&gt;"Fechada",TODAY()&gt;Ocorrencias[[#This Row],[Prazo]]),"SIM","")</f>
        <v/>
      </c>
      <c r="K208">
        <f>IFERROR(VLOOKUP(Ocorrencias[[#This Row],[Local]],Unidades!A:B,2,FALSE),"")</f>
        <v/>
      </c>
      <c r="L208" s="7">
        <f>IF(Ocorrencias[[#This Row],[Status]]="Fechada","",TODAY()-Ocorrencias[[#This Row],[DataAbertura]])</f>
        <v/>
      </c>
    </row>
    <row r="209">
      <c r="A209" t="inlineStr">
        <is>
          <t>OS-2872</t>
        </is>
      </c>
      <c r="B209" t="inlineStr">
        <is>
          <t>Medidor de vazão F-29 com leitura instável</t>
        </is>
      </c>
      <c r="C209" t="inlineStr">
        <is>
          <t>Medidor de vazão F-29 oscila sem variação de processo.</t>
        </is>
      </c>
      <c r="D209" t="inlineStr">
        <is>
          <t>Oficina Elétrica Central</t>
        </is>
      </c>
      <c r="E209" t="inlineStr">
        <is>
          <t>Média</t>
        </is>
      </c>
      <c r="F209" t="inlineStr">
        <is>
          <t>Bernardo Leal</t>
        </is>
      </c>
      <c r="G209" t="inlineStr">
        <is>
          <t>Fechada</t>
        </is>
      </c>
      <c r="H209" s="5" t="n">
        <v>46163.12396054483</v>
      </c>
      <c r="I20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09">
        <f>IF(AND(Ocorrencias[[#This Row],[Status]]&lt;&gt;"Fechada",TODAY()&gt;Ocorrencias[[#This Row],[Prazo]]),"SIM","")</f>
        <v/>
      </c>
      <c r="K209">
        <f>IFERROR(VLOOKUP(Ocorrencias[[#This Row],[Local]],Unidades!A:B,2,FALSE),"")</f>
        <v/>
      </c>
      <c r="L209" s="7">
        <f>IF(Ocorrencias[[#This Row],[Status]]="Fechada","",TODAY()-Ocorrencias[[#This Row],[DataAbertura]])</f>
        <v/>
      </c>
    </row>
    <row r="210">
      <c r="A210" t="inlineStr">
        <is>
          <t>OS-2873</t>
        </is>
      </c>
      <c r="B210" t="inlineStr">
        <is>
          <t>Bomba dosadora D-23 sem recalque</t>
        </is>
      </c>
      <c r="C210" t="inlineStr">
        <is>
          <t>Bomba dosadora D-23 liga mas não dosa. Mangueira sem obstrução aparente.</t>
        </is>
      </c>
      <c r="D210" t="inlineStr">
        <is>
          <t>Subestação Leste</t>
        </is>
      </c>
      <c r="E210" t="inlineStr">
        <is>
          <t>Baixa</t>
        </is>
      </c>
      <c r="F210" t="inlineStr">
        <is>
          <t>Caio Rangel</t>
        </is>
      </c>
      <c r="G210" t="inlineStr">
        <is>
          <t>Fechada</t>
        </is>
      </c>
      <c r="H210" s="5" t="n">
        <v>46163.95161447264</v>
      </c>
      <c r="I21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10">
        <f>IF(AND(Ocorrencias[[#This Row],[Status]]&lt;&gt;"Fechada",TODAY()&gt;Ocorrencias[[#This Row],[Prazo]]),"SIM","")</f>
        <v/>
      </c>
      <c r="K210">
        <f>IFERROR(VLOOKUP(Ocorrencias[[#This Row],[Local]],Unidades!A:B,2,FALSE),"")</f>
        <v/>
      </c>
      <c r="L210" s="7">
        <f>IF(Ocorrencias[[#This Row],[Status]]="Fechada","",TODAY()-Ocorrencias[[#This Row],[DataAbertura]])</f>
        <v/>
      </c>
    </row>
    <row r="211">
      <c r="A211" t="inlineStr">
        <is>
          <t>OS-2874</t>
        </is>
      </c>
      <c r="B211" t="inlineStr">
        <is>
          <t>Válvula E-11 não fecha por completo</t>
        </is>
      </c>
      <c r="C211" t="inlineStr">
        <is>
          <t>Válvula E-11 com passagem residual mesmo totalmente fechada. Possível desgaste da sede.</t>
        </is>
      </c>
      <c r="D211" t="inlineStr">
        <is>
          <t>Usina Fotovoltaica Planalto</t>
        </is>
      </c>
      <c r="E211" t="inlineStr">
        <is>
          <t>Alta</t>
        </is>
      </c>
      <c r="F211" t="inlineStr">
        <is>
          <t>Bernardo Leal</t>
        </is>
      </c>
      <c r="G211" t="inlineStr">
        <is>
          <t>Fechada</t>
        </is>
      </c>
      <c r="H211" s="5" t="n">
        <v>46164.74801840045</v>
      </c>
      <c r="I21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11">
        <f>IF(AND(Ocorrencias[[#This Row],[Status]]&lt;&gt;"Fechada",TODAY()&gt;Ocorrencias[[#This Row],[Prazo]]),"SIM","")</f>
        <v/>
      </c>
      <c r="K211">
        <f>IFERROR(VLOOKUP(Ocorrencias[[#This Row],[Local]],Unidades!A:B,2,FALSE),"")</f>
        <v/>
      </c>
      <c r="L211" s="7">
        <f>IF(Ocorrencias[[#This Row],[Status]]="Fechada","",TODAY()-Ocorrencias[[#This Row],[DataAbertura]])</f>
        <v/>
      </c>
    </row>
    <row r="212">
      <c r="A212" t="inlineStr">
        <is>
          <t>OS-2875</t>
        </is>
      </c>
      <c r="B212" t="inlineStr">
        <is>
          <t>Tomada sem energia na sala H-38</t>
        </is>
      </c>
      <c r="C212" t="inlineStr">
        <is>
          <t>Tomada de serviço da sala H-38 sem tensão.</t>
        </is>
      </c>
      <c r="D212" t="inlineStr">
        <is>
          <t>Galpão de Materiais</t>
        </is>
      </c>
      <c r="E212" t="inlineStr">
        <is>
          <t>Alta</t>
        </is>
      </c>
      <c r="F212" t="inlineStr">
        <is>
          <t>Flávio Gusmão</t>
        </is>
      </c>
      <c r="G212" t="inlineStr">
        <is>
          <t>Fechada</t>
        </is>
      </c>
      <c r="H212" s="5" t="n">
        <v>46165.5277556616</v>
      </c>
      <c r="I21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12">
        <f>IF(AND(Ocorrencias[[#This Row],[Status]]&lt;&gt;"Fechada",TODAY()&gt;Ocorrencias[[#This Row],[Prazo]]),"SIM","")</f>
        <v/>
      </c>
      <c r="K212">
        <f>IFERROR(VLOOKUP(Ocorrencias[[#This Row],[Local]],Unidades!A:B,2,FALSE),"")</f>
        <v/>
      </c>
      <c r="L212" s="7">
        <f>IF(Ocorrencias[[#This Row],[Status]]="Fechada","",TODAY()-Ocorrencias[[#This Row],[DataAbertura]])</f>
        <v/>
      </c>
    </row>
    <row r="213">
      <c r="A213" t="inlineStr">
        <is>
          <t>OS-2876</t>
        </is>
      </c>
      <c r="B213" t="inlineStr">
        <is>
          <t>Aquecimento no mancal do motor E-34</t>
        </is>
      </c>
      <c r="C213" t="inlineStr">
        <is>
          <t>Mancal do motor E-34 acima da temperatura usual na medição com termômetro infravermelho.</t>
        </is>
      </c>
      <c r="D213" t="inlineStr">
        <is>
          <t>Pátio de Veículos</t>
        </is>
      </c>
      <c r="E213" t="inlineStr">
        <is>
          <t>Alta</t>
        </is>
      </c>
      <c r="F213" t="inlineStr">
        <is>
          <t>Larissa Bezerra</t>
        </is>
      </c>
      <c r="G213" t="inlineStr">
        <is>
          <t>Fechada</t>
        </is>
      </c>
      <c r="H213" s="5" t="n">
        <v>46166.33110403385</v>
      </c>
      <c r="I21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13">
        <f>IF(AND(Ocorrencias[[#This Row],[Status]]&lt;&gt;"Fechada",TODAY()&gt;Ocorrencias[[#This Row],[Prazo]]),"SIM","")</f>
        <v/>
      </c>
      <c r="K213">
        <f>IFERROR(VLOOKUP(Ocorrencias[[#This Row],[Local]],Unidades!A:B,2,FALSE),"")</f>
        <v/>
      </c>
      <c r="L213" s="7">
        <f>IF(Ocorrencias[[#This Row],[Status]]="Fechada","",TODAY()-Ocorrencias[[#This Row],[DataAbertura]])</f>
        <v/>
      </c>
    </row>
    <row r="214">
      <c r="A214" t="inlineStr">
        <is>
          <t>OS-2877</t>
        </is>
      </c>
      <c r="B214" t="inlineStr">
        <is>
          <t>Exaustor F-32 parado</t>
        </is>
      </c>
      <c r="C214" t="inlineStr">
        <is>
          <t>Exaustor F-32 não parte. Fusível íntegro.</t>
        </is>
      </c>
      <c r="D214" t="inlineStr">
        <is>
          <t>Sede Administrativa</t>
        </is>
      </c>
      <c r="E214" t="inlineStr">
        <is>
          <t>Alta</t>
        </is>
      </c>
      <c r="F214" t="inlineStr">
        <is>
          <t>Igor Fonseca</t>
        </is>
      </c>
      <c r="G214" t="inlineStr">
        <is>
          <t>Em andamento</t>
        </is>
      </c>
      <c r="H214" s="5" t="n">
        <v>46167.11570240611</v>
      </c>
      <c r="I21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14">
        <f>IF(AND(Ocorrencias[[#This Row],[Status]]&lt;&gt;"Fechada",TODAY()&gt;Ocorrencias[[#This Row],[Prazo]]),"SIM","")</f>
        <v/>
      </c>
      <c r="K214">
        <f>IFERROR(VLOOKUP(Ocorrencias[[#This Row],[Local]],Unidades!A:B,2,FALSE),"")</f>
        <v/>
      </c>
      <c r="L214" s="7">
        <f>IF(Ocorrencias[[#This Row],[Status]]="Fechada","",TODAY()-Ocorrencias[[#This Row],[DataAbertura]])</f>
        <v/>
      </c>
    </row>
    <row r="215">
      <c r="A215" t="inlineStr">
        <is>
          <t>OS-2878</t>
        </is>
      </c>
      <c r="B215" t="inlineStr">
        <is>
          <t>Ar-condicionado da sala G-10 sem refrigerar</t>
        </is>
      </c>
      <c r="C215" t="inlineStr">
        <is>
          <t>Ar-condicionado da sala de painéis G-10 ligado sem refrigerar.</t>
        </is>
      </c>
      <c r="D215" t="inlineStr">
        <is>
          <t>Subestação Sul</t>
        </is>
      </c>
      <c r="E215" t="inlineStr">
        <is>
          <t>Média</t>
        </is>
      </c>
      <c r="F215" t="inlineStr">
        <is>
          <t>Thiago Bastos</t>
        </is>
      </c>
      <c r="G215" t="inlineStr">
        <is>
          <t>Fechada</t>
        </is>
      </c>
      <c r="H215" s="5" t="n"/>
      <c r="I21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15">
        <f>IF(AND(Ocorrencias[[#This Row],[Status]]&lt;&gt;"Fechada",TODAY()&gt;Ocorrencias[[#This Row],[Prazo]]),"SIM","")</f>
        <v/>
      </c>
      <c r="K215">
        <f>IFERROR(VLOOKUP(Ocorrencias[[#This Row],[Local]],Unidades!A:B,2,FALSE),"")</f>
        <v/>
      </c>
      <c r="L215" s="7">
        <f>IF(Ocorrencias[[#This Row],[Status]]="Fechada","",TODAY()-Ocorrencias[[#This Row],[DataAbertura]])</f>
        <v/>
      </c>
    </row>
    <row r="216">
      <c r="A216" t="inlineStr">
        <is>
          <t>OS-2879</t>
        </is>
      </c>
      <c r="B216" t="inlineStr">
        <is>
          <t>Sensor de nível sem leitura no tanque G-25</t>
        </is>
      </c>
      <c r="C216" t="inlineStr">
        <is>
          <t>Supervisório mostra leitura congelada do sensor de nível do tanque G-25.</t>
        </is>
      </c>
      <c r="D216" t="inlineStr">
        <is>
          <t>Captação Rio Verde</t>
        </is>
      </c>
      <c r="E216" t="inlineStr">
        <is>
          <t>Baixa</t>
        </is>
      </c>
      <c r="F216" t="inlineStr">
        <is>
          <t>Ingrid Queiroz</t>
        </is>
      </c>
      <c r="G216" t="inlineStr">
        <is>
          <t>Fechada</t>
        </is>
      </c>
      <c r="H216" s="5" t="n">
        <v>46168.70087137285</v>
      </c>
      <c r="I21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16">
        <f>IF(AND(Ocorrencias[[#This Row],[Status]]&lt;&gt;"Fechada",TODAY()&gt;Ocorrencias[[#This Row],[Prazo]]),"SIM","")</f>
        <v/>
      </c>
      <c r="K216">
        <f>IFERROR(VLOOKUP(Ocorrencias[[#This Row],[Local]],Unidades!A:B,2,FALSE),"")</f>
        <v/>
      </c>
      <c r="L216" s="7">
        <f>IF(Ocorrencias[[#This Row],[Status]]="Fechada","",TODAY()-Ocorrencias[[#This Row],[DataAbertura]])</f>
        <v/>
      </c>
    </row>
    <row r="217">
      <c r="A217" t="inlineStr">
        <is>
          <t>OS-2880</t>
        </is>
      </c>
      <c r="B217" t="inlineStr">
        <is>
          <t>Válvula M-07 não fecha por completo</t>
        </is>
      </c>
      <c r="C217" t="inlineStr">
        <is>
          <t>Válvula M-07 com passagem residual mesmo totalmente fechada. Possível desgaste da sede.</t>
        </is>
      </c>
      <c r="D217" t="inlineStr">
        <is>
          <t>Estação Elevatória Porto</t>
        </is>
      </c>
      <c r="E217" t="inlineStr">
        <is>
          <t>Média</t>
        </is>
      </c>
      <c r="F217" t="inlineStr">
        <is>
          <t>Thiago Bastos</t>
        </is>
      </c>
      <c r="G217" t="inlineStr">
        <is>
          <t>Fechada</t>
        </is>
      </c>
      <c r="H217" s="5" t="n">
        <v>46169.48755307844</v>
      </c>
      <c r="I21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17">
        <f>IF(AND(Ocorrencias[[#This Row],[Status]]&lt;&gt;"Fechada",TODAY()&gt;Ocorrencias[[#This Row],[Prazo]]),"SIM","")</f>
        <v/>
      </c>
      <c r="K217">
        <f>IFERROR(VLOOKUP(Ocorrencias[[#This Row],[Local]],Unidades!A:B,2,FALSE),"")</f>
        <v/>
      </c>
      <c r="L217" s="7">
        <f>IF(Ocorrencias[[#This Row],[Status]]="Fechada","",TODAY()-Ocorrencias[[#This Row],[DataAbertura]])</f>
        <v/>
      </c>
    </row>
    <row r="218">
      <c r="A218" t="inlineStr">
        <is>
          <t>OS-2881</t>
        </is>
      </c>
      <c r="B218" t="inlineStr">
        <is>
          <t>Troca de filtro do compressor D-28</t>
        </is>
      </c>
      <c r="C218" t="inlineStr">
        <is>
          <t>Filtro de ar do compressor D-28 saturado. Substituição preventiva.</t>
        </is>
      </c>
      <c r="D218" t="inlineStr">
        <is>
          <t>Subestação Norte</t>
        </is>
      </c>
      <c r="E218" t="inlineStr">
        <is>
          <t>Baixa</t>
        </is>
      </c>
      <c r="F218" t="inlineStr">
        <is>
          <t>Danilo Peixoto</t>
        </is>
      </c>
      <c r="G218" t="inlineStr">
        <is>
          <t>Fechada</t>
        </is>
      </c>
      <c r="H218" s="5" t="n"/>
      <c r="I21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18">
        <f>IF(AND(Ocorrencias[[#This Row],[Status]]&lt;&gt;"Fechada",TODAY()&gt;Ocorrencias[[#This Row],[Prazo]]),"SIM","")</f>
        <v/>
      </c>
      <c r="K218">
        <f>IFERROR(VLOOKUP(Ocorrencias[[#This Row],[Local]],Unidades!A:B,2,FALSE),"")</f>
        <v/>
      </c>
      <c r="L218" s="7">
        <f>IF(Ocorrencias[[#This Row],[Status]]="Fechada","",TODAY()-Ocorrencias[[#This Row],[DataAbertura]])</f>
        <v/>
      </c>
    </row>
    <row r="219">
      <c r="A219" t="inlineStr">
        <is>
          <t>OS-2882</t>
        </is>
      </c>
      <c r="B219" t="inlineStr">
        <is>
          <t>Portão da área G-01 emperrado</t>
        </is>
      </c>
      <c r="C219" t="inlineStr">
        <is>
          <t>Portão de acesso da área G-01 exige força excessiva para abrir.</t>
        </is>
      </c>
      <c r="D219" t="inlineStr">
        <is>
          <t>Subestação Leste</t>
        </is>
      </c>
      <c r="E219" t="inlineStr">
        <is>
          <t>Baixa</t>
        </is>
      </c>
      <c r="F219" t="inlineStr">
        <is>
          <t>Thiago Bastos</t>
        </is>
      </c>
      <c r="G219" t="inlineStr">
        <is>
          <t>Fechada</t>
        </is>
      </c>
      <c r="H219" s="5" t="n">
        <v>46171.08591648962</v>
      </c>
      <c r="I21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19">
        <f>IF(AND(Ocorrencias[[#This Row],[Status]]&lt;&gt;"Fechada",TODAY()&gt;Ocorrencias[[#This Row],[Prazo]]),"SIM","")</f>
        <v/>
      </c>
      <c r="K219">
        <f>IFERROR(VLOOKUP(Ocorrencias[[#This Row],[Local]],Unidades!A:B,2,FALSE),"")</f>
        <v/>
      </c>
      <c r="L219" s="7">
        <f>IF(Ocorrencias[[#This Row],[Status]]="Fechada","",TODAY()-Ocorrencias[[#This Row],[DataAbertura]])</f>
        <v/>
      </c>
    </row>
    <row r="220">
      <c r="A220" t="inlineStr">
        <is>
          <t>OS-2883</t>
        </is>
      </c>
      <c r="B220" t="inlineStr">
        <is>
          <t>Falha de comunicação no CLP R-19</t>
        </is>
      </c>
      <c r="C220" t="inlineStr">
        <is>
          <t>CLP R-19 perde comunicação com o supervisório em intervalos irregulares.</t>
        </is>
      </c>
      <c r="D220" t="inlineStr">
        <is>
          <t>Base Operacional Sul</t>
        </is>
      </c>
      <c r="E220" t="inlineStr">
        <is>
          <t>Média</t>
        </is>
      </c>
      <c r="F220" t="inlineStr">
        <is>
          <t>Danilo Peixoto</t>
        </is>
      </c>
      <c r="G220" t="inlineStr">
        <is>
          <t>Fechada</t>
        </is>
      </c>
      <c r="H220" s="5" t="n">
        <v>46171.89482041743</v>
      </c>
      <c r="I22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20">
        <f>IF(AND(Ocorrencias[[#This Row],[Status]]&lt;&gt;"Fechada",TODAY()&gt;Ocorrencias[[#This Row],[Prazo]]),"SIM","")</f>
        <v/>
      </c>
      <c r="K220">
        <f>IFERROR(VLOOKUP(Ocorrencias[[#This Row],[Local]],Unidades!A:B,2,FALSE),"")</f>
        <v/>
      </c>
      <c r="L220" s="7">
        <f>IF(Ocorrencias[[#This Row],[Status]]="Fechada","",TODAY()-Ocorrencias[[#This Row],[DataAbertura]])</f>
        <v/>
      </c>
    </row>
    <row r="221">
      <c r="A221" t="inlineStr">
        <is>
          <t>OS-2884</t>
        </is>
      </c>
      <c r="B221" t="inlineStr">
        <is>
          <t>Falha de comunicação no CLP T-35</t>
        </is>
      </c>
      <c r="C221" t="inlineStr">
        <is>
          <t>CLP T-35 perde comunicação com o supervisório em intervalos irregulares.</t>
        </is>
      </c>
      <c r="D221" t="inlineStr">
        <is>
          <t>Usina Fotovoltaica Planalto</t>
        </is>
      </c>
      <c r="E221" t="inlineStr">
        <is>
          <t>Média</t>
        </is>
      </c>
      <c r="F221" t="inlineStr">
        <is>
          <t>Caio Rangel</t>
        </is>
      </c>
      <c r="G221" t="inlineStr">
        <is>
          <t>Fechada</t>
        </is>
      </c>
      <c r="H221" s="5" t="n">
        <v>46172.66066878969</v>
      </c>
      <c r="I22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21">
        <f>IF(AND(Ocorrencias[[#This Row],[Status]]&lt;&gt;"Fechada",TODAY()&gt;Ocorrencias[[#This Row],[Prazo]]),"SIM","")</f>
        <v/>
      </c>
      <c r="K221">
        <f>IFERROR(VLOOKUP(Ocorrencias[[#This Row],[Local]],Unidades!A:B,2,FALSE),"")</f>
        <v/>
      </c>
      <c r="L221" s="7">
        <f>IF(Ocorrencias[[#This Row],[Status]]="Fechada","",TODAY()-Ocorrencias[[#This Row],[DataAbertura]])</f>
        <v/>
      </c>
    </row>
    <row r="222">
      <c r="A222" t="inlineStr">
        <is>
          <t>OS-2885</t>
        </is>
      </c>
      <c r="B222" t="inlineStr">
        <is>
          <t>Vazamento na bomba M-18</t>
        </is>
      </c>
      <c r="C222" t="inlineStr">
        <is>
          <t>Vazamento pelo selo mecânico da bomba M-18. Piso molhado ao redor da base.</t>
        </is>
      </c>
      <c r="D222" t="inlineStr">
        <is>
          <t>Estação Elevatória Leste</t>
        </is>
      </c>
      <c r="E222" t="inlineStr">
        <is>
          <t>Baixa</t>
        </is>
      </c>
      <c r="F222" t="inlineStr">
        <is>
          <t>Thiago Bastos</t>
        </is>
      </c>
      <c r="G222" t="inlineStr">
        <is>
          <t>Fechada</t>
        </is>
      </c>
      <c r="H222" s="5" t="n">
        <v>46173.48068382861</v>
      </c>
      <c r="I22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22">
        <f>IF(AND(Ocorrencias[[#This Row],[Status]]&lt;&gt;"Fechada",TODAY()&gt;Ocorrencias[[#This Row],[Prazo]]),"SIM","")</f>
        <v/>
      </c>
      <c r="K222">
        <f>IFERROR(VLOOKUP(Ocorrencias[[#This Row],[Local]],Unidades!A:B,2,FALSE),"")</f>
        <v/>
      </c>
      <c r="L222" s="7">
        <f>IF(Ocorrencias[[#This Row],[Status]]="Fechada","",TODAY()-Ocorrencias[[#This Row],[DataAbertura]])</f>
        <v/>
      </c>
    </row>
    <row r="223">
      <c r="A223" t="inlineStr">
        <is>
          <t>OS-2886</t>
        </is>
      </c>
      <c r="B223" t="inlineStr">
        <is>
          <t>Pintura descascada na estrutura C-01</t>
        </is>
      </c>
      <c r="C223" t="inlineStr">
        <is>
          <t>Estrutura metálica C-01 com pontos de corrosão sob a pintura.</t>
        </is>
      </c>
      <c r="D223" t="inlineStr">
        <is>
          <t>Base Operacional Norte</t>
        </is>
      </c>
      <c r="E223" t="inlineStr">
        <is>
          <t>Alta</t>
        </is>
      </c>
      <c r="F223" t="inlineStr">
        <is>
          <t>Eduardo Salles</t>
        </is>
      </c>
      <c r="G223" t="inlineStr">
        <is>
          <t>Fechada</t>
        </is>
      </c>
      <c r="H223" s="5" t="n">
        <v>46174.26458775642</v>
      </c>
      <c r="I22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23">
        <f>IF(AND(Ocorrencias[[#This Row],[Status]]&lt;&gt;"Fechada",TODAY()&gt;Ocorrencias[[#This Row],[Prazo]]),"SIM","")</f>
        <v/>
      </c>
      <c r="K223">
        <f>IFERROR(VLOOKUP(Ocorrencias[[#This Row],[Local]],Unidades!A:B,2,FALSE),"")</f>
        <v/>
      </c>
      <c r="L223" s="7">
        <f>IF(Ocorrencias[[#This Row],[Status]]="Fechada","",TODAY()-Ocorrencias[[#This Row],[DataAbertura]])</f>
        <v/>
      </c>
    </row>
    <row r="224">
      <c r="A224" t="inlineStr">
        <is>
          <t>OS-2887</t>
        </is>
      </c>
      <c r="B224" t="inlineStr">
        <is>
          <t>Falha de comunicação no CLP H-03</t>
        </is>
      </c>
      <c r="C224" t="inlineStr">
        <is>
          <t>CLP H-03 perde comunicação com o supervisório em intervalos irregulares.</t>
        </is>
      </c>
      <c r="D224" t="inlineStr">
        <is>
          <t>Sede Administrativa</t>
        </is>
      </c>
      <c r="E224" t="inlineStr">
        <is>
          <t>Alta</t>
        </is>
      </c>
      <c r="G224" t="inlineStr">
        <is>
          <t>Fechada</t>
        </is>
      </c>
      <c r="H224" s="5" t="n">
        <v>46175.0589083509</v>
      </c>
      <c r="I22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24">
        <f>IF(AND(Ocorrencias[[#This Row],[Status]]&lt;&gt;"Fechada",TODAY()&gt;Ocorrencias[[#This Row],[Prazo]]),"SIM","")</f>
        <v/>
      </c>
      <c r="K224">
        <f>IFERROR(VLOOKUP(Ocorrencias[[#This Row],[Local]],Unidades!A:B,2,FALSE),"")</f>
        <v/>
      </c>
      <c r="L224" s="7">
        <f>IF(Ocorrencias[[#This Row],[Status]]="Fechada","",TODAY()-Ocorrencias[[#This Row],[DataAbertura]])</f>
        <v/>
      </c>
    </row>
    <row r="225">
      <c r="A225" t="inlineStr">
        <is>
          <t>OS-2888</t>
        </is>
      </c>
      <c r="B225" t="inlineStr">
        <is>
          <t>Válvula M-33 não fecha por completo</t>
        </is>
      </c>
      <c r="C225" t="inlineStr">
        <is>
          <t>Válvula M-33 com passagem residual mesmo totalmente fechada. Possível desgaste da sede.</t>
        </is>
      </c>
      <c r="D225" t="inlineStr">
        <is>
          <t>Subestação Leste</t>
        </is>
      </c>
      <c r="E225" t="inlineStr">
        <is>
          <t>Baixa</t>
        </is>
      </c>
      <c r="F225" t="inlineStr">
        <is>
          <t>Wesley Cardoso</t>
        </is>
      </c>
      <c r="G225" t="inlineStr">
        <is>
          <t>Fechada</t>
        </is>
      </c>
      <c r="H225" s="5" t="n">
        <v>46175.87475672316</v>
      </c>
      <c r="I22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25">
        <f>IF(AND(Ocorrencias[[#This Row],[Status]]&lt;&gt;"Fechada",TODAY()&gt;Ocorrencias[[#This Row],[Prazo]]),"SIM","")</f>
        <v/>
      </c>
      <c r="K225">
        <f>IFERROR(VLOOKUP(Ocorrencias[[#This Row],[Local]],Unidades!A:B,2,FALSE),"")</f>
        <v/>
      </c>
      <c r="L225" s="7">
        <f>IF(Ocorrencias[[#This Row],[Status]]="Fechada","",TODAY()-Ocorrencias[[#This Row],[DataAbertura]])</f>
        <v/>
      </c>
    </row>
    <row r="226">
      <c r="A226" t="inlineStr">
        <is>
          <t>OS-2889</t>
        </is>
      </c>
      <c r="B226" t="inlineStr">
        <is>
          <t>Ar-condicionado da sala H-05 sem refrigerar</t>
        </is>
      </c>
      <c r="C226" t="inlineStr">
        <is>
          <t>Ar-condicionado da sala de painéis H-05 ligado sem refrigerar.</t>
        </is>
      </c>
      <c r="D226" t="inlineStr">
        <is>
          <t>Subestação Norte</t>
        </is>
      </c>
      <c r="E226" t="inlineStr">
        <is>
          <t>Baixa</t>
        </is>
      </c>
      <c r="F226" t="inlineStr">
        <is>
          <t>Daniela Pires</t>
        </is>
      </c>
      <c r="G226" t="inlineStr">
        <is>
          <t>Fechada</t>
        </is>
      </c>
      <c r="H226" s="5" t="n">
        <v>46176.63018842875</v>
      </c>
      <c r="I22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26">
        <f>IF(AND(Ocorrencias[[#This Row],[Status]]&lt;&gt;"Fechada",TODAY()&gt;Ocorrencias[[#This Row],[Prazo]]),"SIM","")</f>
        <v/>
      </c>
      <c r="K226">
        <f>IFERROR(VLOOKUP(Ocorrencias[[#This Row],[Local]],Unidades!A:B,2,FALSE),"")</f>
        <v/>
      </c>
      <c r="L226" s="7">
        <f>IF(Ocorrencias[[#This Row],[Status]]="Fechada","",TODAY()-Ocorrencias[[#This Row],[DataAbertura]])</f>
        <v/>
      </c>
    </row>
    <row r="227">
      <c r="A227" t="inlineStr">
        <is>
          <t>OS-2890</t>
        </is>
      </c>
      <c r="B227" t="inlineStr">
        <is>
          <t>Disjuntor desarmando no painel R-22</t>
        </is>
      </c>
      <c r="C227" t="inlineStr">
        <is>
          <t>Disjuntor do painel R-22 desarmou três vezes no turno. Carga dentro do nominal.</t>
        </is>
      </c>
      <c r="D227" t="inlineStr">
        <is>
          <t>Booster Morada do Sol</t>
        </is>
      </c>
      <c r="E227" t="inlineStr">
        <is>
          <t>Baixa</t>
        </is>
      </c>
      <c r="F227" t="inlineStr">
        <is>
          <t>Rafael Torres</t>
        </is>
      </c>
      <c r="G227" t="inlineStr">
        <is>
          <t>Fechada</t>
        </is>
      </c>
      <c r="H227" s="5" t="n">
        <v>46177.46131457879</v>
      </c>
      <c r="I22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27">
        <f>IF(AND(Ocorrencias[[#This Row],[Status]]&lt;&gt;"Fechada",TODAY()&gt;Ocorrencias[[#This Row],[Prazo]]),"SIM","")</f>
        <v/>
      </c>
      <c r="K227">
        <f>IFERROR(VLOOKUP(Ocorrencias[[#This Row],[Local]],Unidades!A:B,2,FALSE),"")</f>
        <v/>
      </c>
      <c r="L227" s="7">
        <f>IF(Ocorrencias[[#This Row],[Status]]="Fechada","",TODAY()-Ocorrencias[[#This Row],[DataAbertura]])</f>
        <v/>
      </c>
    </row>
    <row r="228">
      <c r="A228" t="inlineStr">
        <is>
          <t>OS-2891</t>
        </is>
      </c>
      <c r="B228" t="inlineStr">
        <is>
          <t>Medidor de vazão H-05 com leitura instável</t>
        </is>
      </c>
      <c r="C228" t="inlineStr">
        <is>
          <t>Medidor de vazão H-05 oscila sem variação de processo.</t>
        </is>
      </c>
      <c r="D228" t="inlineStr">
        <is>
          <t>Torre de Telecomunicação Morro Alto</t>
        </is>
      </c>
      <c r="E228" t="inlineStr">
        <is>
          <t>Média</t>
        </is>
      </c>
      <c r="F228" t="inlineStr">
        <is>
          <t>Hugo Albuquerque</t>
        </is>
      </c>
      <c r="G228" t="inlineStr">
        <is>
          <t>Fechada</t>
        </is>
      </c>
      <c r="H228" s="5" t="n">
        <v>46178.21674628437</v>
      </c>
      <c r="I22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28">
        <f>IF(AND(Ocorrencias[[#This Row],[Status]]&lt;&gt;"Fechada",TODAY()&gt;Ocorrencias[[#This Row],[Prazo]]),"SIM","")</f>
        <v/>
      </c>
      <c r="K228">
        <f>IFERROR(VLOOKUP(Ocorrencias[[#This Row],[Local]],Unidades!A:B,2,FALSE),"")</f>
        <v/>
      </c>
      <c r="L228" s="7">
        <f>IF(Ocorrencias[[#This Row],[Status]]="Fechada","",TODAY()-Ocorrencias[[#This Row],[DataAbertura]])</f>
        <v/>
      </c>
    </row>
    <row r="229">
      <c r="A229" t="inlineStr">
        <is>
          <t>OS-2892</t>
        </is>
      </c>
      <c r="B229" t="inlineStr">
        <is>
          <t>Falha de comunicação no CLP V-16</t>
        </is>
      </c>
      <c r="C229" t="inlineStr">
        <is>
          <t>CLP V-16 perde comunicação com o supervisório em intervalos irregulares.</t>
        </is>
      </c>
      <c r="D229" t="inlineStr">
        <is>
          <t>Almoxarifado Central</t>
        </is>
      </c>
      <c r="E229" t="inlineStr">
        <is>
          <t>Média</t>
        </is>
      </c>
      <c r="F229" t="inlineStr">
        <is>
          <t>Eduardo Salles</t>
        </is>
      </c>
      <c r="G229" t="inlineStr">
        <is>
          <t>Fechada</t>
        </is>
      </c>
      <c r="H229" s="5" t="n">
        <v>46179.02912243441</v>
      </c>
      <c r="I22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29">
        <f>IF(AND(Ocorrencias[[#This Row],[Status]]&lt;&gt;"Fechada",TODAY()&gt;Ocorrencias[[#This Row],[Prazo]]),"SIM","")</f>
        <v/>
      </c>
      <c r="K229">
        <f>IFERROR(VLOOKUP(Ocorrencias[[#This Row],[Local]],Unidades!A:B,2,FALSE),"")</f>
        <v/>
      </c>
      <c r="L229" s="7">
        <f>IF(Ocorrencias[[#This Row],[Status]]="Fechada","",TODAY()-Ocorrencias[[#This Row],[DataAbertura]])</f>
        <v/>
      </c>
    </row>
    <row r="230">
      <c r="A230" t="inlineStr">
        <is>
          <t>OS-2893</t>
        </is>
      </c>
      <c r="B230" t="inlineStr">
        <is>
          <t>Ruído anormal no motor T-11</t>
        </is>
      </c>
      <c r="C230" t="inlineStr">
        <is>
          <t>Ruído intermitente no motor T-11 durante a partida. Temperatura normal ao toque.</t>
        </is>
      </c>
      <c r="D230" t="inlineStr">
        <is>
          <t>Oficina Mecânica Central</t>
        </is>
      </c>
      <c r="E230" t="inlineStr">
        <is>
          <t>Média</t>
        </is>
      </c>
      <c r="F230" t="inlineStr">
        <is>
          <t>Caio Rangel</t>
        </is>
      </c>
      <c r="G230" t="inlineStr">
        <is>
          <t>Fechada</t>
        </is>
      </c>
      <c r="H230" s="5" t="n">
        <v>46179.82205414</v>
      </c>
      <c r="I23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30">
        <f>IF(AND(Ocorrencias[[#This Row],[Status]]&lt;&gt;"Fechada",TODAY()&gt;Ocorrencias[[#This Row],[Prazo]]),"SIM","")</f>
        <v/>
      </c>
      <c r="K230">
        <f>IFERROR(VLOOKUP(Ocorrencias[[#This Row],[Local]],Unidades!A:B,2,FALSE),"")</f>
        <v/>
      </c>
      <c r="L230" s="7">
        <f>IF(Ocorrencias[[#This Row],[Status]]="Fechada","",TODAY()-Ocorrencias[[#This Row],[DataAbertura]])</f>
        <v/>
      </c>
    </row>
    <row r="231">
      <c r="A231" t="inlineStr">
        <is>
          <t>OS-2894</t>
        </is>
      </c>
      <c r="B231" t="inlineStr">
        <is>
          <t>Ar-condicionado da sala D-05 sem refrigerar</t>
        </is>
      </c>
      <c r="C231" t="inlineStr">
        <is>
          <t>Ar-condicionado da sala de painéis D-05 ligado sem refrigerar.</t>
        </is>
      </c>
      <c r="D231" t="inlineStr">
        <is>
          <t>Captação Rio Verde</t>
        </is>
      </c>
      <c r="E231" t="inlineStr">
        <is>
          <t>Média</t>
        </is>
      </c>
      <c r="F231" t="inlineStr">
        <is>
          <t>Daniela Pires</t>
        </is>
      </c>
      <c r="G231" t="inlineStr">
        <is>
          <t>Fechada</t>
        </is>
      </c>
      <c r="H231" s="5" t="n">
        <v>46180.62748584559</v>
      </c>
      <c r="I23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31">
        <f>IF(AND(Ocorrencias[[#This Row],[Status]]&lt;&gt;"Fechada",TODAY()&gt;Ocorrencias[[#This Row],[Prazo]]),"SIM","")</f>
        <v/>
      </c>
      <c r="K231">
        <f>IFERROR(VLOOKUP(Ocorrencias[[#This Row],[Local]],Unidades!A:B,2,FALSE),"")</f>
        <v/>
      </c>
      <c r="L231" s="7">
        <f>IF(Ocorrencias[[#This Row],[Status]]="Fechada","",TODAY()-Ocorrencias[[#This Row],[DataAbertura]])</f>
        <v/>
      </c>
    </row>
    <row r="232">
      <c r="A232" t="inlineStr">
        <is>
          <t>OS-2895</t>
        </is>
      </c>
      <c r="B232" t="inlineStr">
        <is>
          <t>Medidor de vazão R-39 com leitura instável</t>
        </is>
      </c>
      <c r="C232" t="inlineStr">
        <is>
          <t>Medidor de vazão R-39 oscila sem variação de processo.</t>
        </is>
      </c>
      <c r="D232" t="inlineStr">
        <is>
          <t>Galpão de Materiais</t>
        </is>
      </c>
      <c r="E232" t="inlineStr">
        <is>
          <t>Média</t>
        </is>
      </c>
      <c r="F232" t="inlineStr">
        <is>
          <t>Úrsula Maia</t>
        </is>
      </c>
      <c r="G232" t="inlineStr">
        <is>
          <t>Fechada</t>
        </is>
      </c>
      <c r="H232" s="5" t="n">
        <v>46181.43083421785</v>
      </c>
      <c r="I23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32">
        <f>IF(AND(Ocorrencias[[#This Row],[Status]]&lt;&gt;"Fechada",TODAY()&gt;Ocorrencias[[#This Row],[Prazo]]),"SIM","")</f>
        <v/>
      </c>
      <c r="K232">
        <f>IFERROR(VLOOKUP(Ocorrencias[[#This Row],[Local]],Unidades!A:B,2,FALSE),"")</f>
        <v/>
      </c>
      <c r="L232" s="7">
        <f>IF(Ocorrencias[[#This Row],[Status]]="Fechada","",TODAY()-Ocorrencias[[#This Row],[DataAbertura]])</f>
        <v/>
      </c>
    </row>
    <row r="233">
      <c r="A233" t="inlineStr">
        <is>
          <t>OS-2896</t>
        </is>
      </c>
      <c r="B233" t="inlineStr">
        <is>
          <t>Sensor de nível sem leitura no tanque E-32</t>
        </is>
      </c>
      <c r="C233" t="inlineStr">
        <is>
          <t>Supervisório mostra leitura congelada do sensor de nível do tanque E-32.</t>
        </is>
      </c>
      <c r="D233" t="inlineStr">
        <is>
          <t>ETE Vale do Sol</t>
        </is>
      </c>
      <c r="E233" t="inlineStr">
        <is>
          <t>Média</t>
        </is>
      </c>
      <c r="F233" t="inlineStr">
        <is>
          <t>Aline Rocha</t>
        </is>
      </c>
      <c r="G233" t="inlineStr">
        <is>
          <t>Fechada</t>
        </is>
      </c>
      <c r="H233" s="5" t="n">
        <v>46182.19737703455</v>
      </c>
      <c r="I23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33">
        <f>IF(AND(Ocorrencias[[#This Row],[Status]]&lt;&gt;"Fechada",TODAY()&gt;Ocorrencias[[#This Row],[Prazo]]),"SIM","")</f>
        <v/>
      </c>
      <c r="K233">
        <f>IFERROR(VLOOKUP(Ocorrencias[[#This Row],[Local]],Unidades!A:B,2,FALSE),"")</f>
        <v/>
      </c>
      <c r="L233" s="7">
        <f>IF(Ocorrencias[[#This Row],[Status]]="Fechada","",TODAY()-Ocorrencias[[#This Row],[DataAbertura]])</f>
        <v/>
      </c>
    </row>
    <row r="234">
      <c r="A234" t="inlineStr">
        <is>
          <t>OS-2897</t>
        </is>
      </c>
      <c r="B234" t="inlineStr">
        <is>
          <t>Exaustor M-37 parado</t>
        </is>
      </c>
      <c r="C234" t="inlineStr">
        <is>
          <t>Exaustor M-37 não parte. Fusível íntegro.</t>
        </is>
      </c>
      <c r="D234" t="inlineStr">
        <is>
          <t>Torre de Telecomunicação Morro Alto</t>
        </is>
      </c>
      <c r="E234" t="inlineStr">
        <is>
          <t>Média</t>
        </is>
      </c>
      <c r="F234" t="inlineStr">
        <is>
          <t>Cíntia Freitas</t>
        </is>
      </c>
      <c r="G234" t="inlineStr">
        <is>
          <t>Fechada</t>
        </is>
      </c>
      <c r="H234" s="5" t="n">
        <v>46182.98405874014</v>
      </c>
      <c r="I23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34">
        <f>IF(AND(Ocorrencias[[#This Row],[Status]]&lt;&gt;"Fechada",TODAY()&gt;Ocorrencias[[#This Row],[Prazo]]),"SIM","")</f>
        <v/>
      </c>
      <c r="K234">
        <f>IFERROR(VLOOKUP(Ocorrencias[[#This Row],[Local]],Unidades!A:B,2,FALSE),"")</f>
        <v/>
      </c>
      <c r="L234" s="7">
        <f>IF(Ocorrencias[[#This Row],[Status]]="Fechada","",TODAY()-Ocorrencias[[#This Row],[DataAbertura]])</f>
        <v/>
      </c>
    </row>
    <row r="235">
      <c r="A235" t="inlineStr">
        <is>
          <t>OS-2898</t>
        </is>
      </c>
      <c r="B235" t="inlineStr">
        <is>
          <t>Tomada sem energia na sala G-19</t>
        </is>
      </c>
      <c r="C235" t="inlineStr">
        <is>
          <t>Tomada de serviço da sala G-19 sem tensão.</t>
        </is>
      </c>
      <c r="D235" t="inlineStr">
        <is>
          <t>Reservatório Industrial</t>
        </is>
      </c>
      <c r="E235" t="inlineStr">
        <is>
          <t>Alta</t>
        </is>
      </c>
      <c r="F235" t="inlineStr">
        <is>
          <t>Rafael Torres</t>
        </is>
      </c>
      <c r="G235" t="inlineStr">
        <is>
          <t>Fechada</t>
        </is>
      </c>
      <c r="H235" s="5" t="n">
        <v>46183.77629600128</v>
      </c>
      <c r="I23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35">
        <f>IF(AND(Ocorrencias[[#This Row],[Status]]&lt;&gt;"Fechada",TODAY()&gt;Ocorrencias[[#This Row],[Prazo]]),"SIM","")</f>
        <v/>
      </c>
      <c r="K235">
        <f>IFERROR(VLOOKUP(Ocorrencias[[#This Row],[Local]],Unidades!A:B,2,FALSE),"")</f>
        <v/>
      </c>
      <c r="L235" s="7">
        <f>IF(Ocorrencias[[#This Row],[Status]]="Fechada","",TODAY()-Ocorrencias[[#This Row],[DataAbertura]])</f>
        <v/>
      </c>
    </row>
    <row r="236">
      <c r="A236" t="inlineStr">
        <is>
          <t>OS-2899</t>
        </is>
      </c>
      <c r="B236" t="inlineStr">
        <is>
          <t>Tomada sem energia na sala A-22</t>
        </is>
      </c>
      <c r="C236" t="inlineStr">
        <is>
          <t>Tomada de serviço da sala A-22 sem tensão.</t>
        </is>
      </c>
      <c r="D236" t="inlineStr">
        <is>
          <t>Torre de Telecomunicação Morro Alto</t>
        </is>
      </c>
      <c r="E236" t="inlineStr">
        <is>
          <t>Média</t>
        </is>
      </c>
      <c r="F236" t="inlineStr">
        <is>
          <t>Ingrid Queiroz</t>
        </is>
      </c>
      <c r="G236" t="inlineStr">
        <is>
          <t>Fechada</t>
        </is>
      </c>
      <c r="H236" s="5" t="n">
        <v>46184.61089437354</v>
      </c>
      <c r="I23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36">
        <f>IF(AND(Ocorrencias[[#This Row],[Status]]&lt;&gt;"Fechada",TODAY()&gt;Ocorrencias[[#This Row],[Prazo]]),"SIM","")</f>
        <v/>
      </c>
      <c r="K236">
        <f>IFERROR(VLOOKUP(Ocorrencias[[#This Row],[Local]],Unidades!A:B,2,FALSE),"")</f>
        <v/>
      </c>
      <c r="L236" s="7">
        <f>IF(Ocorrencias[[#This Row],[Status]]="Fechada","",TODAY()-Ocorrencias[[#This Row],[DataAbertura]])</f>
        <v/>
      </c>
    </row>
    <row r="237">
      <c r="A237" t="inlineStr">
        <is>
          <t>OS-2900</t>
        </is>
      </c>
      <c r="B237" t="inlineStr">
        <is>
          <t>Ruído anormal no motor V-25</t>
        </is>
      </c>
      <c r="C237" t="inlineStr">
        <is>
          <t>Ruído intermitente no motor V-25 durante a partida. Temperatura normal ao toque.</t>
        </is>
      </c>
      <c r="D237" t="inlineStr">
        <is>
          <t>Captação Lagoa Seca</t>
        </is>
      </c>
      <c r="E237" t="inlineStr">
        <is>
          <t>Média</t>
        </is>
      </c>
      <c r="F237" t="inlineStr">
        <is>
          <t>Yara Medeiros</t>
        </is>
      </c>
      <c r="G237" t="inlineStr">
        <is>
          <t>Fechada</t>
        </is>
      </c>
      <c r="H237" s="5" t="n">
        <v>46185.38993719024</v>
      </c>
      <c r="I23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37">
        <f>IF(AND(Ocorrencias[[#This Row],[Status]]&lt;&gt;"Fechada",TODAY()&gt;Ocorrencias[[#This Row],[Prazo]]),"SIM","")</f>
        <v/>
      </c>
      <c r="K237">
        <f>IFERROR(VLOOKUP(Ocorrencias[[#This Row],[Local]],Unidades!A:B,2,FALSE),"")</f>
        <v/>
      </c>
      <c r="L237" s="7">
        <f>IF(Ocorrencias[[#This Row],[Status]]="Fechada","",TODAY()-Ocorrencias[[#This Row],[DataAbertura]])</f>
        <v/>
      </c>
    </row>
    <row r="238">
      <c r="A238" t="inlineStr">
        <is>
          <t>OS-2901</t>
        </is>
      </c>
      <c r="B238" t="inlineStr">
        <is>
          <t>Vazamento de óleo no redutor V-09</t>
        </is>
      </c>
      <c r="C238" t="inlineStr">
        <is>
          <t>Gotejamento de óleo no redutor V-09. Nível ainda dentro da faixa.</t>
        </is>
      </c>
      <c r="D238" t="inlineStr">
        <is>
          <t>ETA Serra Azul</t>
        </is>
      </c>
      <c r="E238" t="inlineStr">
        <is>
          <t>Baixa</t>
        </is>
      </c>
      <c r="F238" t="inlineStr">
        <is>
          <t>Simone Carvalho</t>
        </is>
      </c>
      <c r="G238" t="inlineStr">
        <is>
          <t>Fechada</t>
        </is>
      </c>
      <c r="H238" s="5" t="n">
        <v>46186.19745222916</v>
      </c>
      <c r="I23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38">
        <f>IF(AND(Ocorrencias[[#This Row],[Status]]&lt;&gt;"Fechada",TODAY()&gt;Ocorrencias[[#This Row],[Prazo]]),"SIM","")</f>
        <v/>
      </c>
      <c r="K238">
        <f>IFERROR(VLOOKUP(Ocorrencias[[#This Row],[Local]],Unidades!A:B,2,FALSE),"")</f>
        <v/>
      </c>
      <c r="L238" s="7">
        <f>IF(Ocorrencias[[#This Row],[Status]]="Fechada","",TODAY()-Ocorrencias[[#This Row],[DataAbertura]])</f>
        <v/>
      </c>
    </row>
    <row r="239">
      <c r="A239" t="inlineStr">
        <is>
          <t>OS-2902</t>
        </is>
      </c>
      <c r="B239" t="inlineStr">
        <is>
          <t>Troca de filtro do compressor H-05</t>
        </is>
      </c>
      <c r="C239" t="inlineStr">
        <is>
          <t>Filtro de ar do compressor H-05 saturado. Substituição preventiva.</t>
        </is>
      </c>
      <c r="D239" t="inlineStr">
        <is>
          <t>Base Operacional Sul</t>
        </is>
      </c>
      <c r="E239" t="inlineStr">
        <is>
          <t>Baixa</t>
        </is>
      </c>
      <c r="F239" t="inlineStr">
        <is>
          <t>Cíntia Freitas</t>
        </is>
      </c>
      <c r="G239" t="inlineStr">
        <is>
          <t>Fechada</t>
        </is>
      </c>
      <c r="H239" s="5" t="n">
        <v>46186.97927282364</v>
      </c>
      <c r="I23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39">
        <f>IF(AND(Ocorrencias[[#This Row],[Status]]&lt;&gt;"Fechada",TODAY()&gt;Ocorrencias[[#This Row],[Prazo]]),"SIM","")</f>
        <v/>
      </c>
      <c r="K239">
        <f>IFERROR(VLOOKUP(Ocorrencias[[#This Row],[Local]],Unidades!A:B,2,FALSE),"")</f>
        <v/>
      </c>
      <c r="L239" s="7">
        <f>IF(Ocorrencias[[#This Row],[Status]]="Fechada","",TODAY()-Ocorrencias[[#This Row],[DataAbertura]])</f>
        <v/>
      </c>
    </row>
    <row r="240">
      <c r="A240" t="inlineStr">
        <is>
          <t>OS-2903</t>
        </is>
      </c>
      <c r="B240" t="inlineStr">
        <is>
          <t>Válvula F-02 não fecha por completo</t>
        </is>
      </c>
      <c r="C240" t="inlineStr">
        <is>
          <t>Válvula F-02 com passagem residual mesmo totalmente fechada. Possível desgaste da sede.</t>
        </is>
      </c>
      <c r="D240" t="inlineStr">
        <is>
          <t>Estação Elevatória Porto</t>
        </is>
      </c>
      <c r="E240" t="inlineStr">
        <is>
          <t>Média</t>
        </is>
      </c>
      <c r="F240" t="inlineStr">
        <is>
          <t>Natália Cordeiro</t>
        </is>
      </c>
      <c r="G240" t="inlineStr">
        <is>
          <t>Fechada</t>
        </is>
      </c>
      <c r="H240" s="5" t="n">
        <v>46187.78123230702</v>
      </c>
      <c r="I24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40">
        <f>IF(AND(Ocorrencias[[#This Row],[Status]]&lt;&gt;"Fechada",TODAY()&gt;Ocorrencias[[#This Row],[Prazo]]),"SIM","")</f>
        <v/>
      </c>
      <c r="K240">
        <f>IFERROR(VLOOKUP(Ocorrencias[[#This Row],[Local]],Unidades!A:B,2,FALSE),"")</f>
        <v/>
      </c>
      <c r="L240" s="7">
        <f>IF(Ocorrencias[[#This Row],[Status]]="Fechada","",TODAY()-Ocorrencias[[#This Row],[DataAbertura]])</f>
        <v/>
      </c>
    </row>
    <row r="241">
      <c r="A241" t="inlineStr">
        <is>
          <t>OS-2904</t>
        </is>
      </c>
      <c r="B241" t="inlineStr">
        <is>
          <t>Falha de comunicação no CLP M-24</t>
        </is>
      </c>
      <c r="C241" t="inlineStr">
        <is>
          <t>CLP M-24 perde comunicação com o supervisório em intervalos irregulares.</t>
        </is>
      </c>
      <c r="D241" t="inlineStr">
        <is>
          <t>Oficina Mecânica Central</t>
        </is>
      </c>
      <c r="E241" t="inlineStr">
        <is>
          <t>Crítica</t>
        </is>
      </c>
      <c r="F241" t="inlineStr">
        <is>
          <t>Thiago Bastos</t>
        </is>
      </c>
      <c r="G241" t="inlineStr">
        <is>
          <t>Fechada</t>
        </is>
      </c>
      <c r="H241" s="5" t="n"/>
      <c r="I24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41">
        <f>IF(AND(Ocorrencias[[#This Row],[Status]]&lt;&gt;"Fechada",TODAY()&gt;Ocorrencias[[#This Row],[Prazo]]),"SIM","")</f>
        <v/>
      </c>
      <c r="K241">
        <f>IFERROR(VLOOKUP(Ocorrencias[[#This Row],[Local]],Unidades!A:B,2,FALSE),"")</f>
        <v/>
      </c>
      <c r="L241" s="7">
        <f>IF(Ocorrencias[[#This Row],[Status]]="Fechada","",TODAY()-Ocorrencias[[#This Row],[DataAbertura]])</f>
        <v/>
      </c>
    </row>
    <row r="242">
      <c r="A242" t="inlineStr">
        <is>
          <t>OS-2905</t>
        </is>
      </c>
      <c r="B242" t="inlineStr">
        <is>
          <t>Sensor de nível sem leitura no tanque H-25</t>
        </is>
      </c>
      <c r="C242" t="inlineStr">
        <is>
          <t>Supervisório mostra leitura congelada do sensor de nível do tanque H-25.</t>
        </is>
      </c>
      <c r="D242" t="inlineStr">
        <is>
          <t>Adutora Tronco Norte</t>
        </is>
      </c>
      <c r="E242" t="inlineStr">
        <is>
          <t>Média</t>
        </is>
      </c>
      <c r="F242" t="inlineStr">
        <is>
          <t>Heloísa Barreto</t>
        </is>
      </c>
      <c r="G242" t="inlineStr">
        <is>
          <t>Fechada</t>
        </is>
      </c>
      <c r="H242" s="5" t="n">
        <v>46189.36362349597</v>
      </c>
      <c r="I24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42">
        <f>IF(AND(Ocorrencias[[#This Row],[Status]]&lt;&gt;"Fechada",TODAY()&gt;Ocorrencias[[#This Row],[Prazo]]),"SIM","")</f>
        <v/>
      </c>
      <c r="K242">
        <f>IFERROR(VLOOKUP(Ocorrencias[[#This Row],[Local]],Unidades!A:B,2,FALSE),"")</f>
        <v/>
      </c>
      <c r="L242" s="7">
        <f>IF(Ocorrencias[[#This Row],[Status]]="Fechada","",TODAY()-Ocorrencias[[#This Row],[DataAbertura]])</f>
        <v/>
      </c>
    </row>
    <row r="243">
      <c r="A243" t="inlineStr">
        <is>
          <t>OS-2906</t>
        </is>
      </c>
      <c r="B243" t="inlineStr">
        <is>
          <t>Medidor de vazão T-14 com leitura instável</t>
        </is>
      </c>
      <c r="C243" t="inlineStr">
        <is>
          <t>Medidor de vazão T-14 oscila sem variação de processo.</t>
        </is>
      </c>
      <c r="D243" t="inlineStr">
        <is>
          <t>Reservatório Industrial</t>
        </is>
      </c>
      <c r="E243" t="inlineStr">
        <is>
          <t>Alta</t>
        </is>
      </c>
      <c r="F243" t="inlineStr">
        <is>
          <t>Fernanda Quintela</t>
        </is>
      </c>
      <c r="G243" t="inlineStr">
        <is>
          <t>Em andamento</t>
        </is>
      </c>
      <c r="H243" s="5" t="n">
        <v>46190.14961075711</v>
      </c>
      <c r="I24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43">
        <f>IF(AND(Ocorrencias[[#This Row],[Status]]&lt;&gt;"Fechada",TODAY()&gt;Ocorrencias[[#This Row],[Prazo]]),"SIM","")</f>
        <v/>
      </c>
      <c r="K243">
        <f>IFERROR(VLOOKUP(Ocorrencias[[#This Row],[Local]],Unidades!A:B,2,FALSE),"")</f>
        <v/>
      </c>
      <c r="L243" s="7">
        <f>IF(Ocorrencias[[#This Row],[Status]]="Fechada","",TODAY()-Ocorrencias[[#This Row],[DataAbertura]])</f>
        <v/>
      </c>
    </row>
    <row r="244">
      <c r="A244" t="inlineStr">
        <is>
          <t>OS-2907</t>
        </is>
      </c>
      <c r="B244" t="inlineStr">
        <is>
          <t>Portão da área E-02 emperrado</t>
        </is>
      </c>
      <c r="C244" t="inlineStr">
        <is>
          <t>Portão de acesso da área E-02 exige força excessiva para abrir.</t>
        </is>
      </c>
      <c r="D244" t="inlineStr">
        <is>
          <t>Reservatório Industrial</t>
        </is>
      </c>
      <c r="E244" t="inlineStr">
        <is>
          <t>Média</t>
        </is>
      </c>
      <c r="F244" t="inlineStr">
        <is>
          <t>Érica Andrade</t>
        </is>
      </c>
      <c r="G244" t="inlineStr">
        <is>
          <t>Fechada</t>
        </is>
      </c>
      <c r="H244" s="5" t="n">
        <v>46190.9501813516</v>
      </c>
      <c r="I24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44">
        <f>IF(AND(Ocorrencias[[#This Row],[Status]]&lt;&gt;"Fechada",TODAY()&gt;Ocorrencias[[#This Row],[Prazo]]),"SIM","")</f>
        <v/>
      </c>
      <c r="K244">
        <f>IFERROR(VLOOKUP(Ocorrencias[[#This Row],[Local]],Unidades!A:B,2,FALSE),"")</f>
        <v/>
      </c>
      <c r="L244" s="7">
        <f>IF(Ocorrencias[[#This Row],[Status]]="Fechada","",TODAY()-Ocorrencias[[#This Row],[DataAbertura]])</f>
        <v/>
      </c>
    </row>
    <row r="245">
      <c r="A245" t="inlineStr">
        <is>
          <t>OS-2908</t>
        </is>
      </c>
      <c r="B245" t="inlineStr">
        <is>
          <t>Correia do ventilador E-36 desgastada</t>
        </is>
      </c>
      <c r="C245" t="inlineStr">
        <is>
          <t>Correia do ventilador E-36 com trincas visíveis e folga excessiva.</t>
        </is>
      </c>
      <c r="D245" t="inlineStr">
        <is>
          <t>Estação Elevatória Porto</t>
        </is>
      </c>
      <c r="E245" t="inlineStr">
        <is>
          <t>Média</t>
        </is>
      </c>
      <c r="F245" t="inlineStr">
        <is>
          <t>Eduardo Salles</t>
        </is>
      </c>
      <c r="G245" t="inlineStr">
        <is>
          <t>Fechada</t>
        </is>
      </c>
      <c r="H245" s="5" t="n">
        <v>46191.70977972385</v>
      </c>
      <c r="I24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45">
        <f>IF(AND(Ocorrencias[[#This Row],[Status]]&lt;&gt;"Fechada",TODAY()&gt;Ocorrencias[[#This Row],[Prazo]]),"SIM","")</f>
        <v/>
      </c>
      <c r="K245">
        <f>IFERROR(VLOOKUP(Ocorrencias[[#This Row],[Local]],Unidades!A:B,2,FALSE),"")</f>
        <v/>
      </c>
      <c r="L245" s="7">
        <f>IF(Ocorrencias[[#This Row],[Status]]="Fechada","",TODAY()-Ocorrencias[[#This Row],[DataAbertura]])</f>
        <v/>
      </c>
    </row>
    <row r="246">
      <c r="A246" t="inlineStr">
        <is>
          <t>OS-2909</t>
        </is>
      </c>
      <c r="B246" t="inlineStr">
        <is>
          <t>Pintura descascada na estrutura A-20</t>
        </is>
      </c>
      <c r="C246" t="inlineStr">
        <is>
          <t>Estrutura metálica A-20 com pontos de corrosão sob a pintura.</t>
        </is>
      </c>
      <c r="D246" t="inlineStr">
        <is>
          <t>Base Operacional Serra</t>
        </is>
      </c>
      <c r="E246" t="inlineStr">
        <is>
          <t>Baixa</t>
        </is>
      </c>
      <c r="G246" t="inlineStr">
        <is>
          <t>Fechada</t>
        </is>
      </c>
      <c r="H246" s="5" t="n">
        <v>46192.52562809611</v>
      </c>
      <c r="I24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46">
        <f>IF(AND(Ocorrencias[[#This Row],[Status]]&lt;&gt;"Fechada",TODAY()&gt;Ocorrencias[[#This Row],[Prazo]]),"SIM","")</f>
        <v/>
      </c>
      <c r="K246">
        <f>IFERROR(VLOOKUP(Ocorrencias[[#This Row],[Local]],Unidades!A:B,2,FALSE),"")</f>
        <v/>
      </c>
      <c r="L246" s="7">
        <f>IF(Ocorrencias[[#This Row],[Status]]="Fechada","",TODAY()-Ocorrencias[[#This Row],[DataAbertura]])</f>
        <v/>
      </c>
    </row>
    <row r="247">
      <c r="A247" t="inlineStr">
        <is>
          <t>OS-2910</t>
        </is>
      </c>
      <c r="B247" t="inlineStr">
        <is>
          <t>Aquecimento no mancal do motor P-28</t>
        </is>
      </c>
      <c r="C247" t="inlineStr">
        <is>
          <t>Mancal do motor P-28 acima da temperatura usual na medição com termômetro infravermelho.</t>
        </is>
      </c>
      <c r="D247" t="inlineStr">
        <is>
          <t>Base Op. Sul</t>
        </is>
      </c>
      <c r="E247" t="inlineStr">
        <is>
          <t>Baixa</t>
        </is>
      </c>
      <c r="F247" t="inlineStr">
        <is>
          <t>Otávio Lacerda</t>
        </is>
      </c>
      <c r="G247" t="inlineStr">
        <is>
          <t>Fechada</t>
        </is>
      </c>
      <c r="H247" s="5" t="n">
        <v>46193.34911535725</v>
      </c>
      <c r="I24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47">
        <f>IF(AND(Ocorrencias[[#This Row],[Status]]&lt;&gt;"Fechada",TODAY()&gt;Ocorrencias[[#This Row],[Prazo]]),"SIM","")</f>
        <v/>
      </c>
      <c r="K247">
        <f>IFERROR(VLOOKUP(Ocorrencias[[#This Row],[Local]],Unidades!A:B,2,FALSE),"")</f>
        <v/>
      </c>
      <c r="L247" s="7">
        <f>IF(Ocorrencias[[#This Row],[Status]]="Fechada","",TODAY()-Ocorrencias[[#This Row],[DataAbertura]])</f>
        <v/>
      </c>
    </row>
    <row r="248">
      <c r="A248" t="inlineStr">
        <is>
          <t>OS-2911</t>
        </is>
      </c>
      <c r="B248" t="inlineStr">
        <is>
          <t>Portão da área A-28 emperrado</t>
        </is>
      </c>
      <c r="C248" t="inlineStr">
        <is>
          <t>Portão de acesso da área A-28 exige força excessiva para abrir.</t>
        </is>
      </c>
      <c r="D248" t="inlineStr">
        <is>
          <t>Estação Elevatória Leste</t>
        </is>
      </c>
      <c r="E248" t="inlineStr">
        <is>
          <t>Média</t>
        </is>
      </c>
      <c r="F248" t="inlineStr">
        <is>
          <t>Otávio Lacerda</t>
        </is>
      </c>
      <c r="G248" t="inlineStr">
        <is>
          <t>Fechada</t>
        </is>
      </c>
      <c r="H248" s="5" t="n">
        <v>46194.1288526184</v>
      </c>
      <c r="I24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48">
        <f>IF(AND(Ocorrencias[[#This Row],[Status]]&lt;&gt;"Fechada",TODAY()&gt;Ocorrencias[[#This Row],[Prazo]]),"SIM","")</f>
        <v/>
      </c>
      <c r="K248">
        <f>IFERROR(VLOOKUP(Ocorrencias[[#This Row],[Local]],Unidades!A:B,2,FALSE),"")</f>
        <v/>
      </c>
      <c r="L248" s="7">
        <f>IF(Ocorrencias[[#This Row],[Status]]="Fechada","",TODAY()-Ocorrencias[[#This Row],[DataAbertura]])</f>
        <v/>
      </c>
    </row>
    <row r="249">
      <c r="A249" t="inlineStr">
        <is>
          <t>OS-2912</t>
        </is>
      </c>
      <c r="B249" t="inlineStr">
        <is>
          <t>Disjuntor desarmando no painel F-13</t>
        </is>
      </c>
      <c r="C249" t="inlineStr">
        <is>
          <t>Disjuntor do painel F-13 desarmou três vezes no turno. Carga dentro do nominal.</t>
        </is>
      </c>
      <c r="D249" t="inlineStr">
        <is>
          <t>Centro de Operações</t>
        </is>
      </c>
      <c r="E249" t="inlineStr">
        <is>
          <t>Baixa</t>
        </is>
      </c>
      <c r="F249" t="inlineStr">
        <is>
          <t>Zeca Moraes</t>
        </is>
      </c>
      <c r="G249" t="inlineStr">
        <is>
          <t>Fechada</t>
        </is>
      </c>
      <c r="H249" s="5" t="n">
        <v>46194.928034324</v>
      </c>
      <c r="I24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49">
        <f>IF(AND(Ocorrencias[[#This Row],[Status]]&lt;&gt;"Fechada",TODAY()&gt;Ocorrencias[[#This Row],[Prazo]]),"SIM","")</f>
        <v/>
      </c>
      <c r="K249">
        <f>IFERROR(VLOOKUP(Ocorrencias[[#This Row],[Local]],Unidades!A:B,2,FALSE),"")</f>
        <v/>
      </c>
      <c r="L249" s="7">
        <f>IF(Ocorrencias[[#This Row],[Status]]="Fechada","",TODAY()-Ocorrencias[[#This Row],[DataAbertura]])</f>
        <v/>
      </c>
    </row>
    <row r="250">
      <c r="A250" t="inlineStr">
        <is>
          <t>OS-2913</t>
        </is>
      </c>
      <c r="B250" t="inlineStr">
        <is>
          <t>Portão da área V-26 emperrado</t>
        </is>
      </c>
      <c r="C250" t="inlineStr">
        <is>
          <t>Portão de acesso da área V-26 exige força excessiva para abrir.</t>
        </is>
      </c>
      <c r="D250" t="inlineStr">
        <is>
          <t>Subestação Centro</t>
        </is>
      </c>
      <c r="E250" t="inlineStr">
        <is>
          <t>Baixa</t>
        </is>
      </c>
      <c r="F250" t="inlineStr">
        <is>
          <t>Daniela Pires</t>
        </is>
      </c>
      <c r="G250" t="inlineStr">
        <is>
          <t>Fechada</t>
        </is>
      </c>
      <c r="H250" s="5" t="n">
        <v>46195.72304936292</v>
      </c>
      <c r="I25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50">
        <f>IF(AND(Ocorrencias[[#This Row],[Status]]&lt;&gt;"Fechada",TODAY()&gt;Ocorrencias[[#This Row],[Prazo]]),"SIM","")</f>
        <v/>
      </c>
      <c r="K250">
        <f>IFERROR(VLOOKUP(Ocorrencias[[#This Row],[Local]],Unidades!A:B,2,FALSE),"")</f>
        <v/>
      </c>
      <c r="L250" s="7">
        <f>IF(Ocorrencias[[#This Row],[Status]]="Fechada","",TODAY()-Ocorrencias[[#This Row],[DataAbertura]])</f>
        <v/>
      </c>
    </row>
    <row r="251">
      <c r="A251" t="inlineStr">
        <is>
          <t>OS-2914</t>
        </is>
      </c>
      <c r="B251" t="inlineStr">
        <is>
          <t>Bomba dosadora G-25 sem recalque</t>
        </is>
      </c>
      <c r="C251" t="inlineStr">
        <is>
          <t>Bomba dosadora G-25 liga mas não dosa. Mangueira sem obstrução aparente.</t>
        </is>
      </c>
      <c r="D251" t="inlineStr">
        <is>
          <t>Subestação Centro</t>
        </is>
      </c>
      <c r="E251" t="inlineStr">
        <is>
          <t>Média</t>
        </is>
      </c>
      <c r="F251" t="inlineStr">
        <is>
          <t>Hugo Albuquerque</t>
        </is>
      </c>
      <c r="G251" t="inlineStr">
        <is>
          <t>Fechada</t>
        </is>
      </c>
      <c r="H251" s="5" t="n">
        <v>46196.47778662406</v>
      </c>
      <c r="I25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51">
        <f>IF(AND(Ocorrencias[[#This Row],[Status]]&lt;&gt;"Fechada",TODAY()&gt;Ocorrencias[[#This Row],[Prazo]]),"SIM","")</f>
        <v/>
      </c>
      <c r="K251">
        <f>IFERROR(VLOOKUP(Ocorrencias[[#This Row],[Local]],Unidades!A:B,2,FALSE),"")</f>
        <v/>
      </c>
      <c r="L251" s="7">
        <f>IF(Ocorrencias[[#This Row],[Status]]="Fechada","",TODAY()-Ocorrencias[[#This Row],[DataAbertura]])</f>
        <v/>
      </c>
    </row>
    <row r="252">
      <c r="A252" t="inlineStr">
        <is>
          <t>OS-2915</t>
        </is>
      </c>
      <c r="B252" t="inlineStr">
        <is>
          <t>Lâmpada queimada na área V-18</t>
        </is>
      </c>
      <c r="C252" t="inlineStr">
        <is>
          <t>Iluminação da área V-18 sem funcionar. Reposição de lâmpada e conferência do reator.</t>
        </is>
      </c>
      <c r="D252" t="inlineStr">
        <is>
          <t>Estação Elevatória Porto</t>
        </is>
      </c>
      <c r="E252" t="inlineStr">
        <is>
          <t>Média</t>
        </is>
      </c>
      <c r="F252" t="inlineStr">
        <is>
          <t>Eduardo Salles</t>
        </is>
      </c>
      <c r="G252" t="inlineStr">
        <is>
          <t>Fechada</t>
        </is>
      </c>
      <c r="H252" s="5" t="n">
        <v>46197.27974610743</v>
      </c>
      <c r="I25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52">
        <f>IF(AND(Ocorrencias[[#This Row],[Status]]&lt;&gt;"Fechada",TODAY()&gt;Ocorrencias[[#This Row],[Prazo]]),"SIM","")</f>
        <v/>
      </c>
      <c r="K252">
        <f>IFERROR(VLOOKUP(Ocorrencias[[#This Row],[Local]],Unidades!A:B,2,FALSE),"")</f>
        <v/>
      </c>
      <c r="L252" s="7">
        <f>IF(Ocorrencias[[#This Row],[Status]]="Fechada","",TODAY()-Ocorrencias[[#This Row],[DataAbertura]])</f>
        <v/>
      </c>
    </row>
    <row r="253">
      <c r="A253" t="inlineStr">
        <is>
          <t>OS-2916</t>
        </is>
      </c>
      <c r="B253" t="inlineStr">
        <is>
          <t>Sensor de nível sem leitura no tanque D-01</t>
        </is>
      </c>
      <c r="C253" t="inlineStr">
        <is>
          <t>Supervisório mostra leitura congelada do sensor de nível do tanque D-01.</t>
        </is>
      </c>
      <c r="D253" t="inlineStr">
        <is>
          <t>Base Operacional Litoral</t>
        </is>
      </c>
      <c r="E253" t="inlineStr">
        <is>
          <t>Alta</t>
        </is>
      </c>
      <c r="F253" t="inlineStr">
        <is>
          <t>Murilo Paiva</t>
        </is>
      </c>
      <c r="G253" t="inlineStr">
        <is>
          <t>Fechada</t>
        </is>
      </c>
      <c r="H253" s="5" t="n">
        <v>46198.08726114636</v>
      </c>
      <c r="I25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53">
        <f>IF(AND(Ocorrencias[[#This Row],[Status]]&lt;&gt;"Fechada",TODAY()&gt;Ocorrencias[[#This Row],[Prazo]]),"SIM","")</f>
        <v/>
      </c>
      <c r="K253">
        <f>IFERROR(VLOOKUP(Ocorrencias[[#This Row],[Local]],Unidades!A:B,2,FALSE),"")</f>
        <v/>
      </c>
      <c r="L253" s="7">
        <f>IF(Ocorrencias[[#This Row],[Status]]="Fechada","",TODAY()-Ocorrencias[[#This Row],[DataAbertura]])</f>
        <v/>
      </c>
    </row>
    <row r="254">
      <c r="A254" t="inlineStr">
        <is>
          <t>OS-2917</t>
        </is>
      </c>
      <c r="B254" t="inlineStr">
        <is>
          <t>Troca de filtro do compressor D-22</t>
        </is>
      </c>
      <c r="C254" t="inlineStr">
        <is>
          <t>Filtro de ar do compressor D-22 saturado. Substituição preventiva.</t>
        </is>
      </c>
      <c r="D254" t="inlineStr">
        <is>
          <t>Subestação Norte</t>
        </is>
      </c>
      <c r="E254" t="inlineStr">
        <is>
          <t>Baixa</t>
        </is>
      </c>
      <c r="F254" t="inlineStr">
        <is>
          <t>Kleber Antunes</t>
        </is>
      </c>
      <c r="G254" t="inlineStr">
        <is>
          <t>Fechada</t>
        </is>
      </c>
      <c r="H254" s="5" t="n">
        <v>46198.87602618528</v>
      </c>
      <c r="I25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54">
        <f>IF(AND(Ocorrencias[[#This Row],[Status]]&lt;&gt;"Fechada",TODAY()&gt;Ocorrencias[[#This Row],[Prazo]]),"SIM","")</f>
        <v/>
      </c>
      <c r="K254">
        <f>IFERROR(VLOOKUP(Ocorrencias[[#This Row],[Local]],Unidades!A:B,2,FALSE),"")</f>
        <v/>
      </c>
      <c r="L254" s="7">
        <f>IF(Ocorrencias[[#This Row],[Status]]="Fechada","",TODAY()-Ocorrencias[[#This Row],[DataAbertura]])</f>
        <v/>
      </c>
    </row>
    <row r="255">
      <c r="A255" t="inlineStr">
        <is>
          <t>OS-2918</t>
        </is>
      </c>
      <c r="B255" t="inlineStr">
        <is>
          <t>Falha de comunicação no CLP T-30</t>
        </is>
      </c>
      <c r="C255" t="inlineStr">
        <is>
          <t>CLP T-30 perde comunicação com o supervisório em intervalos irregulares.</t>
        </is>
      </c>
      <c r="D255" t="inlineStr">
        <is>
          <t>Base Operacional Sul</t>
        </is>
      </c>
      <c r="E255" t="inlineStr">
        <is>
          <t>Baixa</t>
        </is>
      </c>
      <c r="F255" t="inlineStr">
        <is>
          <t>Érica Andrade</t>
        </is>
      </c>
      <c r="G255" t="inlineStr">
        <is>
          <t>Fechada</t>
        </is>
      </c>
      <c r="H255" s="5" t="n">
        <v>46199.69743011309</v>
      </c>
      <c r="I25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55">
        <f>IF(AND(Ocorrencias[[#This Row],[Status]]&lt;&gt;"Fechada",TODAY()&gt;Ocorrencias[[#This Row],[Prazo]]),"SIM","")</f>
        <v/>
      </c>
      <c r="K255">
        <f>IFERROR(VLOOKUP(Ocorrencias[[#This Row],[Local]],Unidades!A:B,2,FALSE),"")</f>
        <v/>
      </c>
      <c r="L255" s="7">
        <f>IF(Ocorrencias[[#This Row],[Status]]="Fechada","",TODAY()-Ocorrencias[[#This Row],[DataAbertura]])</f>
        <v/>
      </c>
    </row>
    <row r="256">
      <c r="A256" t="inlineStr">
        <is>
          <t>OS-2919</t>
        </is>
      </c>
      <c r="B256" t="inlineStr">
        <is>
          <t>Pintura descascada na estrutura C-32</t>
        </is>
      </c>
      <c r="C256" t="inlineStr">
        <is>
          <t>Estrutura metálica C-32 com pontos de corrosão sob a pintura.</t>
        </is>
      </c>
      <c r="D256" t="inlineStr">
        <is>
          <t>Captação Lagoa Seca</t>
        </is>
      </c>
      <c r="E256" t="inlineStr">
        <is>
          <t>Média</t>
        </is>
      </c>
      <c r="F256" t="inlineStr">
        <is>
          <t>Ingrid Queiroz</t>
        </is>
      </c>
      <c r="G256" t="inlineStr">
        <is>
          <t>Fechada</t>
        </is>
      </c>
      <c r="H256" s="5" t="n">
        <v>46200.50216737424</v>
      </c>
      <c r="I25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56">
        <f>IF(AND(Ocorrencias[[#This Row],[Status]]&lt;&gt;"Fechada",TODAY()&gt;Ocorrencias[[#This Row],[Prazo]]),"SIM","")</f>
        <v/>
      </c>
      <c r="K256">
        <f>IFERROR(VLOOKUP(Ocorrencias[[#This Row],[Local]],Unidades!A:B,2,FALSE),"")</f>
        <v/>
      </c>
      <c r="L256" s="7">
        <f>IF(Ocorrencias[[#This Row],[Status]]="Fechada","",TODAY()-Ocorrencias[[#This Row],[DataAbertura]])</f>
        <v/>
      </c>
    </row>
    <row r="257">
      <c r="A257" t="inlineStr">
        <is>
          <t>OS-2920</t>
        </is>
      </c>
      <c r="B257" t="inlineStr">
        <is>
          <t>Portão da área R-37 emperrado</t>
        </is>
      </c>
      <c r="C257" t="inlineStr">
        <is>
          <t>Portão de acesso da área R-37 exige força excessiva para abrir.</t>
        </is>
      </c>
      <c r="D257" t="inlineStr">
        <is>
          <t>Estação Elevatória Porto</t>
        </is>
      </c>
      <c r="E257" t="inlineStr">
        <is>
          <t>Média</t>
        </is>
      </c>
      <c r="F257" t="inlineStr">
        <is>
          <t>Heloísa Barreto</t>
        </is>
      </c>
      <c r="G257" t="inlineStr">
        <is>
          <t>Fechada</t>
        </is>
      </c>
      <c r="H257" s="5" t="n">
        <v>46201.29023796871</v>
      </c>
      <c r="I25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57">
        <f>IF(AND(Ocorrencias[[#This Row],[Status]]&lt;&gt;"Fechada",TODAY()&gt;Ocorrencias[[#This Row],[Prazo]]),"SIM","")</f>
        <v/>
      </c>
      <c r="K257">
        <f>IFERROR(VLOOKUP(Ocorrencias[[#This Row],[Local]],Unidades!A:B,2,FALSE),"")</f>
        <v/>
      </c>
      <c r="L257" s="7">
        <f>IF(Ocorrencias[[#This Row],[Status]]="Fechada","",TODAY()-Ocorrencias[[#This Row],[DataAbertura]])</f>
        <v/>
      </c>
    </row>
    <row r="258">
      <c r="A258" t="inlineStr">
        <is>
          <t>OS-2921</t>
        </is>
      </c>
      <c r="B258" t="inlineStr">
        <is>
          <t>Calha entupida no prédio R-30</t>
        </is>
      </c>
      <c r="C258" t="inlineStr">
        <is>
          <t>Calha do prédio R-30 transbordando em dia de chuva.</t>
        </is>
      </c>
      <c r="D258" t="inlineStr">
        <is>
          <t>Estação de Bombeamento Vila Nova</t>
        </is>
      </c>
      <c r="E258" t="inlineStr">
        <is>
          <t>Média</t>
        </is>
      </c>
      <c r="F258" t="inlineStr">
        <is>
          <t>Yara Medeiros</t>
        </is>
      </c>
      <c r="G258" t="inlineStr">
        <is>
          <t>Fechada</t>
        </is>
      </c>
      <c r="H258" s="5" t="n">
        <v>46202.08247522986</v>
      </c>
      <c r="I25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58">
        <f>IF(AND(Ocorrencias[[#This Row],[Status]]&lt;&gt;"Fechada",TODAY()&gt;Ocorrencias[[#This Row],[Prazo]]),"SIM","")</f>
        <v/>
      </c>
      <c r="K258">
        <f>IFERROR(VLOOKUP(Ocorrencias[[#This Row],[Local]],Unidades!A:B,2,FALSE),"")</f>
        <v/>
      </c>
      <c r="L258" s="7">
        <f>IF(Ocorrencias[[#This Row],[Status]]="Fechada","",TODAY()-Ocorrencias[[#This Row],[DataAbertura]])</f>
        <v/>
      </c>
    </row>
    <row r="259">
      <c r="A259" t="inlineStr">
        <is>
          <t>OS-2922</t>
        </is>
      </c>
      <c r="B259" t="inlineStr">
        <is>
          <t>Troca de filtro do compressor M-22</t>
        </is>
      </c>
      <c r="C259" t="inlineStr">
        <is>
          <t>Filtro de ar do compressor M-22 saturado. Substituição preventiva.</t>
        </is>
      </c>
      <c r="D259" t="inlineStr">
        <is>
          <t>Subestação Norte</t>
        </is>
      </c>
      <c r="E259" t="inlineStr">
        <is>
          <t>Média</t>
        </is>
      </c>
      <c r="F259" t="inlineStr">
        <is>
          <t>Zeca Moraes</t>
        </is>
      </c>
      <c r="G259" t="inlineStr">
        <is>
          <t>Fechada</t>
        </is>
      </c>
      <c r="H259" s="5" t="n">
        <v>46202.83790693545</v>
      </c>
      <c r="I25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59">
        <f>IF(AND(Ocorrencias[[#This Row],[Status]]&lt;&gt;"Fechada",TODAY()&gt;Ocorrencias[[#This Row],[Prazo]]),"SIM","")</f>
        <v/>
      </c>
      <c r="K259">
        <f>IFERROR(VLOOKUP(Ocorrencias[[#This Row],[Local]],Unidades!A:B,2,FALSE),"")</f>
        <v/>
      </c>
      <c r="L259" s="7">
        <f>IF(Ocorrencias[[#This Row],[Status]]="Fechada","",TODAY()-Ocorrencias[[#This Row],[DataAbertura]])</f>
        <v/>
      </c>
    </row>
    <row r="260">
      <c r="A260" t="inlineStr">
        <is>
          <t>OS-2923</t>
        </is>
      </c>
      <c r="B260" t="inlineStr">
        <is>
          <t>Falha de comunicação no CLP F-34</t>
        </is>
      </c>
      <c r="C260" t="inlineStr">
        <is>
          <t>CLP F-34 perde comunicação com o supervisório em intervalos irregulares.</t>
        </is>
      </c>
      <c r="D260" t="inlineStr">
        <is>
          <t>Base Operacional Litoral</t>
        </is>
      </c>
      <c r="E260" t="inlineStr">
        <is>
          <t>Alta</t>
        </is>
      </c>
      <c r="F260" t="inlineStr">
        <is>
          <t>Cíntia Freitas</t>
        </is>
      </c>
      <c r="G260" t="inlineStr">
        <is>
          <t>Fechada</t>
        </is>
      </c>
      <c r="H260" s="5" t="n">
        <v>46203.64333864104</v>
      </c>
      <c r="I26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60">
        <f>IF(AND(Ocorrencias[[#This Row],[Status]]&lt;&gt;"Fechada",TODAY()&gt;Ocorrencias[[#This Row],[Prazo]]),"SIM","")</f>
        <v/>
      </c>
      <c r="K260">
        <f>IFERROR(VLOOKUP(Ocorrencias[[#This Row],[Local]],Unidades!A:B,2,FALSE),"")</f>
        <v/>
      </c>
      <c r="L260" s="7">
        <f>IF(Ocorrencias[[#This Row],[Status]]="Fechada","",TODAY()-Ocorrencias[[#This Row],[DataAbertura]])</f>
        <v/>
      </c>
    </row>
    <row r="261">
      <c r="A261" t="inlineStr">
        <is>
          <t>OS-2924</t>
        </is>
      </c>
      <c r="B261" t="inlineStr">
        <is>
          <t>Calha entupida no prédio A-35</t>
        </is>
      </c>
      <c r="C261" t="inlineStr">
        <is>
          <t>Calha do prédio A-35 transbordando em dia de chuva.</t>
        </is>
      </c>
      <c r="D261" t="inlineStr">
        <is>
          <t>Captação Rio Verde</t>
        </is>
      </c>
      <c r="E261" t="inlineStr">
        <is>
          <t>Média</t>
        </is>
      </c>
      <c r="F261" t="inlineStr">
        <is>
          <t>Wesley Cardoso</t>
        </is>
      </c>
      <c r="G261" t="inlineStr">
        <is>
          <t>Fechada</t>
        </is>
      </c>
      <c r="H261" s="5" t="n">
        <v>46204.43627034663</v>
      </c>
      <c r="I26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61">
        <f>IF(AND(Ocorrencias[[#This Row],[Status]]&lt;&gt;"Fechada",TODAY()&gt;Ocorrencias[[#This Row],[Prazo]]),"SIM","")</f>
        <v/>
      </c>
      <c r="K261">
        <f>IFERROR(VLOOKUP(Ocorrencias[[#This Row],[Local]],Unidades!A:B,2,FALSE),"")</f>
        <v/>
      </c>
      <c r="L261" s="7">
        <f>IF(Ocorrencias[[#This Row],[Status]]="Fechada","",TODAY()-Ocorrencias[[#This Row],[DataAbertura]])</f>
        <v/>
      </c>
    </row>
    <row r="262">
      <c r="A262" t="inlineStr">
        <is>
          <t>OS-2925</t>
        </is>
      </c>
      <c r="B262" t="inlineStr">
        <is>
          <t>Válvula C-26 não fecha por completo</t>
        </is>
      </c>
      <c r="C262" t="inlineStr">
        <is>
          <t>Válvula C-26 com passagem residual mesmo totalmente fechada. Possível desgaste da sede.</t>
        </is>
      </c>
      <c r="D262" t="inlineStr">
        <is>
          <t>ETE Rio Claro</t>
        </is>
      </c>
      <c r="E262" t="inlineStr">
        <is>
          <t>Baixa</t>
        </is>
      </c>
      <c r="F262" t="inlineStr">
        <is>
          <t>Úrsula Maia</t>
        </is>
      </c>
      <c r="G262" t="inlineStr">
        <is>
          <t>Fechada</t>
        </is>
      </c>
      <c r="H262" s="5" t="n">
        <v>46205.22711871889</v>
      </c>
      <c r="I26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62">
        <f>IF(AND(Ocorrencias[[#This Row],[Status]]&lt;&gt;"Fechada",TODAY()&gt;Ocorrencias[[#This Row],[Prazo]]),"SIM","")</f>
        <v/>
      </c>
      <c r="K262">
        <f>IFERROR(VLOOKUP(Ocorrencias[[#This Row],[Local]],Unidades!A:B,2,FALSE),"")</f>
        <v/>
      </c>
      <c r="L262" s="7">
        <f>IF(Ocorrencias[[#This Row],[Status]]="Fechada","",TODAY()-Ocorrencias[[#This Row],[DataAbertura]])</f>
        <v/>
      </c>
    </row>
    <row r="263">
      <c r="A263" t="inlineStr">
        <is>
          <t>OS-2926</t>
        </is>
      </c>
      <c r="B263" t="inlineStr">
        <is>
          <t>Tomada sem energia na sala M-05</t>
        </is>
      </c>
      <c r="C263" t="inlineStr">
        <is>
          <t>Tomada de serviço da sala M-05 sem tensão.</t>
        </is>
      </c>
      <c r="D263" t="inlineStr">
        <is>
          <t>ETE Rio Claro</t>
        </is>
      </c>
      <c r="E263" t="inlineStr">
        <is>
          <t>Média</t>
        </is>
      </c>
      <c r="F263" t="inlineStr">
        <is>
          <t>Marcos Vinícius Rocha</t>
        </is>
      </c>
      <c r="G263" t="inlineStr">
        <is>
          <t>Fechada</t>
        </is>
      </c>
      <c r="H263" s="5" t="n">
        <v>46206.01380042448</v>
      </c>
      <c r="I26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63">
        <f>IF(AND(Ocorrencias[[#This Row],[Status]]&lt;&gt;"Fechada",TODAY()&gt;Ocorrencias[[#This Row],[Prazo]]),"SIM","")</f>
        <v/>
      </c>
      <c r="K263">
        <f>IFERROR(VLOOKUP(Ocorrencias[[#This Row],[Local]],Unidades!A:B,2,FALSE),"")</f>
        <v/>
      </c>
      <c r="L263" s="7">
        <f>IF(Ocorrencias[[#This Row],[Status]]="Fechada","",TODAY()-Ocorrencias[[#This Row],[DataAbertura]])</f>
        <v/>
      </c>
    </row>
    <row r="264">
      <c r="A264" t="inlineStr">
        <is>
          <t>OS-2927</t>
        </is>
      </c>
      <c r="B264" t="inlineStr">
        <is>
          <t>Vazamento de óleo no redutor T-18</t>
        </is>
      </c>
      <c r="C264" t="inlineStr">
        <is>
          <t>Gotejamento de óleo no redutor T-18. Nível ainda dentro da faixa.</t>
        </is>
      </c>
      <c r="D264" t="inlineStr">
        <is>
          <t>ETE Vale do Sol</t>
        </is>
      </c>
      <c r="E264" t="inlineStr">
        <is>
          <t>Crítica</t>
        </is>
      </c>
      <c r="F264" t="inlineStr">
        <is>
          <t>Alex Nogueira</t>
        </is>
      </c>
      <c r="G264" t="inlineStr">
        <is>
          <t>Fechada</t>
        </is>
      </c>
      <c r="H264" s="5" t="n">
        <v>46206.84700990785</v>
      </c>
      <c r="I26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64">
        <f>IF(AND(Ocorrencias[[#This Row],[Status]]&lt;&gt;"Fechada",TODAY()&gt;Ocorrencias[[#This Row],[Prazo]]),"SIM","")</f>
        <v/>
      </c>
      <c r="K264">
        <f>IFERROR(VLOOKUP(Ocorrencias[[#This Row],[Local]],Unidades!A:B,2,FALSE),"")</f>
        <v/>
      </c>
      <c r="L264" s="7">
        <f>IF(Ocorrencias[[#This Row],[Status]]="Fechada","",TODAY()-Ocorrencias[[#This Row],[DataAbertura]])</f>
        <v/>
      </c>
    </row>
    <row r="265">
      <c r="A265" t="inlineStr">
        <is>
          <t>OS-2928</t>
        </is>
      </c>
      <c r="B265" t="inlineStr">
        <is>
          <t>Aquecimento no mancal do motor R-06</t>
        </is>
      </c>
      <c r="C265" t="inlineStr">
        <is>
          <t>Mancal do motor R-06 acima da temperatura usual na medição com termômetro infravermelho.</t>
        </is>
      </c>
      <c r="D265" t="inlineStr">
        <is>
          <t>Base Operacional Sul</t>
        </is>
      </c>
      <c r="E265" t="inlineStr">
        <is>
          <t>Média</t>
        </is>
      </c>
      <c r="F265" t="inlineStr">
        <is>
          <t>Daniela Pires</t>
        </is>
      </c>
      <c r="G265" t="inlineStr">
        <is>
          <t>Fechada</t>
        </is>
      </c>
      <c r="H265" s="5" t="n">
        <v>46207.64480272455</v>
      </c>
      <c r="I26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65">
        <f>IF(AND(Ocorrencias[[#This Row],[Status]]&lt;&gt;"Fechada",TODAY()&gt;Ocorrencias[[#This Row],[Prazo]]),"SIM","")</f>
        <v/>
      </c>
      <c r="K265">
        <f>IFERROR(VLOOKUP(Ocorrencias[[#This Row],[Local]],Unidades!A:B,2,FALSE),"")</f>
        <v/>
      </c>
      <c r="L265" s="7">
        <f>IF(Ocorrencias[[#This Row],[Status]]="Fechada","",TODAY()-Ocorrencias[[#This Row],[DataAbertura]])</f>
        <v/>
      </c>
    </row>
    <row r="266">
      <c r="A266" t="inlineStr">
        <is>
          <t>OS-2929</t>
        </is>
      </c>
      <c r="B266" t="inlineStr">
        <is>
          <t>Válvula G-30 não fecha por completo</t>
        </is>
      </c>
      <c r="C266" t="inlineStr">
        <is>
          <t>Válvula G-30 com passagem residual mesmo totalmente fechada. Possível desgaste da sede.</t>
        </is>
      </c>
      <c r="D266" t="inlineStr">
        <is>
          <t>Estação Elevatória Leste</t>
        </is>
      </c>
      <c r="E266" t="inlineStr">
        <is>
          <t>Média</t>
        </is>
      </c>
      <c r="F266" t="inlineStr">
        <is>
          <t>Caio Rangel</t>
        </is>
      </c>
      <c r="G266" t="inlineStr">
        <is>
          <t>Fechada</t>
        </is>
      </c>
      <c r="H266" s="5" t="n">
        <v>46208.3919010968</v>
      </c>
      <c r="I26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66">
        <f>IF(AND(Ocorrencias[[#This Row],[Status]]&lt;&gt;"Fechada",TODAY()&gt;Ocorrencias[[#This Row],[Prazo]]),"SIM","")</f>
        <v/>
      </c>
      <c r="K266">
        <f>IFERROR(VLOOKUP(Ocorrencias[[#This Row],[Local]],Unidades!A:B,2,FALSE),"")</f>
        <v/>
      </c>
      <c r="L266" s="7">
        <f>IF(Ocorrencias[[#This Row],[Status]]="Fechada","",TODAY()-Ocorrencias[[#This Row],[DataAbertura]])</f>
        <v/>
      </c>
    </row>
    <row r="267">
      <c r="A267" t="inlineStr">
        <is>
          <t>OS-2930</t>
        </is>
      </c>
      <c r="B267" t="inlineStr">
        <is>
          <t>Calha entupida no prédio M-30</t>
        </is>
      </c>
      <c r="C267" t="inlineStr">
        <is>
          <t>Calha do prédio M-30 transbordando em dia de chuva.</t>
        </is>
      </c>
      <c r="D267" t="inlineStr">
        <is>
          <t>Torre de Telecomunicação Morro Alto</t>
        </is>
      </c>
      <c r="E267" t="inlineStr">
        <is>
          <t>Média</t>
        </is>
      </c>
      <c r="G267" t="inlineStr">
        <is>
          <t>Aberta</t>
        </is>
      </c>
      <c r="H267" s="5" t="n">
        <v>46209.2209439135</v>
      </c>
      <c r="I26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67">
        <f>IF(AND(Ocorrencias[[#This Row],[Status]]&lt;&gt;"Fechada",TODAY()&gt;Ocorrencias[[#This Row],[Prazo]]),"SIM","")</f>
        <v/>
      </c>
      <c r="K267">
        <f>IFERROR(VLOOKUP(Ocorrencias[[#This Row],[Local]],Unidades!A:B,2,FALSE),"")</f>
        <v/>
      </c>
      <c r="L267" s="7">
        <f>IF(Ocorrencias[[#This Row],[Status]]="Fechada","",TODAY()-Ocorrencias[[#This Row],[DataAbertura]])</f>
        <v/>
      </c>
    </row>
    <row r="268">
      <c r="A268" t="inlineStr">
        <is>
          <t>OS-2931</t>
        </is>
      </c>
      <c r="B268" t="inlineStr">
        <is>
          <t>Medidor de vazão G-31 com leitura instável</t>
        </is>
      </c>
      <c r="C268" t="inlineStr">
        <is>
          <t>Medidor de vazão G-31 oscila sem variação de processo.</t>
        </is>
      </c>
      <c r="D268" t="inlineStr">
        <is>
          <t>Subestação Norte</t>
        </is>
      </c>
      <c r="E268" t="inlineStr">
        <is>
          <t>Média</t>
        </is>
      </c>
      <c r="F268" t="inlineStr">
        <is>
          <t>Aline Rocha</t>
        </is>
      </c>
      <c r="G268" t="inlineStr">
        <is>
          <t>Fechada</t>
        </is>
      </c>
      <c r="H268" s="5" t="n">
        <v>46210.02707006354</v>
      </c>
      <c r="I26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68">
        <f>IF(AND(Ocorrencias[[#This Row],[Status]]&lt;&gt;"Fechada",TODAY()&gt;Ocorrencias[[#This Row],[Prazo]]),"SIM","")</f>
        <v/>
      </c>
      <c r="K268">
        <f>IFERROR(VLOOKUP(Ocorrencias[[#This Row],[Local]],Unidades!A:B,2,FALSE),"")</f>
        <v/>
      </c>
      <c r="L268" s="7">
        <f>IF(Ocorrencias[[#This Row],[Status]]="Fechada","",TODAY()-Ocorrencias[[#This Row],[DataAbertura]])</f>
        <v/>
      </c>
    </row>
    <row r="269">
      <c r="A269" t="inlineStr">
        <is>
          <t>OS-2932</t>
        </is>
      </c>
      <c r="B269" t="inlineStr">
        <is>
          <t>Exaustor R-12 parado</t>
        </is>
      </c>
      <c r="C269" t="inlineStr">
        <is>
          <t>Exaustor R-12 não parte. Fusível íntegro.</t>
        </is>
      </c>
      <c r="D269" t="inlineStr">
        <is>
          <t>ETE Vale do Sol</t>
        </is>
      </c>
      <c r="E269" t="inlineStr">
        <is>
          <t>Baixa</t>
        </is>
      </c>
      <c r="F269" t="inlineStr">
        <is>
          <t>Jonas Teles</t>
        </is>
      </c>
      <c r="G269" t="inlineStr">
        <is>
          <t>Fechada</t>
        </is>
      </c>
      <c r="H269" s="5" t="n">
        <v>46210.7929184358</v>
      </c>
      <c r="I26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69">
        <f>IF(AND(Ocorrencias[[#This Row],[Status]]&lt;&gt;"Fechada",TODAY()&gt;Ocorrencias[[#This Row],[Prazo]]),"SIM","")</f>
        <v/>
      </c>
      <c r="K269">
        <f>IFERROR(VLOOKUP(Ocorrencias[[#This Row],[Local]],Unidades!A:B,2,FALSE),"")</f>
        <v/>
      </c>
      <c r="L269" s="7">
        <f>IF(Ocorrencias[[#This Row],[Status]]="Fechada","",TODAY()-Ocorrencias[[#This Row],[DataAbertura]])</f>
        <v/>
      </c>
    </row>
    <row r="270">
      <c r="A270" t="inlineStr">
        <is>
          <t>OS-2933</t>
        </is>
      </c>
      <c r="B270" t="inlineStr">
        <is>
          <t>Válvula D-29 não fecha por completo</t>
        </is>
      </c>
      <c r="C270" t="inlineStr">
        <is>
          <t>Válvula D-29 com passagem residual mesmo totalmente fechada. Possível desgaste da sede.</t>
        </is>
      </c>
      <c r="D270" t="inlineStr">
        <is>
          <t>Reservatório Industrial</t>
        </is>
      </c>
      <c r="E270" t="inlineStr">
        <is>
          <t>Alta</t>
        </is>
      </c>
      <c r="F270" t="inlineStr">
        <is>
          <t>Simone Carvalho</t>
        </is>
      </c>
      <c r="G270" t="inlineStr">
        <is>
          <t>Fechada</t>
        </is>
      </c>
      <c r="H270" s="5" t="n">
        <v>46211.60876680806</v>
      </c>
      <c r="I27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70">
        <f>IF(AND(Ocorrencias[[#This Row],[Status]]&lt;&gt;"Fechada",TODAY()&gt;Ocorrencias[[#This Row],[Prazo]]),"SIM","")</f>
        <v/>
      </c>
      <c r="K270">
        <f>IFERROR(VLOOKUP(Ocorrencias[[#This Row],[Local]],Unidades!A:B,2,FALSE),"")</f>
        <v/>
      </c>
      <c r="L270" s="7">
        <f>IF(Ocorrencias[[#This Row],[Status]]="Fechada","",TODAY()-Ocorrencias[[#This Row],[DataAbertura]])</f>
        <v/>
      </c>
    </row>
    <row r="271">
      <c r="A271" t="inlineStr">
        <is>
          <t>OS-2934</t>
        </is>
      </c>
      <c r="B271" t="inlineStr">
        <is>
          <t>Troca de filtro do compressor C-18</t>
        </is>
      </c>
      <c r="C271" t="inlineStr">
        <is>
          <t>Filtro de ar do compressor C-18 saturado. Substituição preventiva.</t>
        </is>
      </c>
      <c r="D271" t="inlineStr">
        <is>
          <t>Base Operacional Serra</t>
        </is>
      </c>
      <c r="E271" t="inlineStr">
        <is>
          <t>Alta</t>
        </is>
      </c>
      <c r="F271" t="inlineStr">
        <is>
          <t>Heloísa Barreto</t>
        </is>
      </c>
      <c r="G271" t="inlineStr">
        <is>
          <t>Fechada</t>
        </is>
      </c>
      <c r="H271" s="5" t="n">
        <v>46212.39128184698</v>
      </c>
      <c r="I27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71">
        <f>IF(AND(Ocorrencias[[#This Row],[Status]]&lt;&gt;"Fechada",TODAY()&gt;Ocorrencias[[#This Row],[Prazo]]),"SIM","")</f>
        <v/>
      </c>
      <c r="K271">
        <f>IFERROR(VLOOKUP(Ocorrencias[[#This Row],[Local]],Unidades!A:B,2,FALSE),"")</f>
        <v/>
      </c>
      <c r="L271" s="7">
        <f>IF(Ocorrencias[[#This Row],[Status]]="Fechada","",TODAY()-Ocorrencias[[#This Row],[DataAbertura]])</f>
        <v/>
      </c>
    </row>
    <row r="272">
      <c r="A272" t="inlineStr">
        <is>
          <t>OS-2935</t>
        </is>
      </c>
      <c r="B272" t="inlineStr">
        <is>
          <t>Troca de filtro do compressor R-14</t>
        </is>
      </c>
      <c r="C272" t="inlineStr">
        <is>
          <t>Filtro de ar do compressor R-14 saturado. Substituição preventiva.</t>
        </is>
      </c>
      <c r="D272" t="inlineStr">
        <is>
          <t>Captação Lagoa Seca</t>
        </is>
      </c>
      <c r="E272" t="inlineStr">
        <is>
          <t>Média</t>
        </is>
      </c>
      <c r="F272" t="inlineStr">
        <is>
          <t>Marcos Vinícius Rocha</t>
        </is>
      </c>
      <c r="G272" t="inlineStr">
        <is>
          <t>Fechada</t>
        </is>
      </c>
      <c r="H272" s="5" t="n">
        <v>46213.18351910813</v>
      </c>
      <c r="I27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72">
        <f>IF(AND(Ocorrencias[[#This Row],[Status]]&lt;&gt;"Fechada",TODAY()&gt;Ocorrencias[[#This Row],[Prazo]]),"SIM","")</f>
        <v/>
      </c>
      <c r="K272">
        <f>IFERROR(VLOOKUP(Ocorrencias[[#This Row],[Local]],Unidades!A:B,2,FALSE),"")</f>
        <v/>
      </c>
      <c r="L272" s="7">
        <f>IF(Ocorrencias[[#This Row],[Status]]="Fechada","",TODAY()-Ocorrencias[[#This Row],[DataAbertura]])</f>
        <v/>
      </c>
    </row>
    <row r="273">
      <c r="A273" t="inlineStr">
        <is>
          <t>OS-2936</t>
        </is>
      </c>
      <c r="B273" t="inlineStr">
        <is>
          <t>Correia do ventilador H-31 desgastada</t>
        </is>
      </c>
      <c r="C273" t="inlineStr">
        <is>
          <t>Correia do ventilador H-31 com trincas visíveis e folga excessiva.</t>
        </is>
      </c>
      <c r="D273" t="inlineStr">
        <is>
          <t>Base Operacional Norte</t>
        </is>
      </c>
      <c r="E273" t="inlineStr">
        <is>
          <t>Baixa</t>
        </is>
      </c>
      <c r="F273" t="inlineStr">
        <is>
          <t>Úrsula Maia</t>
        </is>
      </c>
      <c r="G273" t="inlineStr">
        <is>
          <t>Fechada</t>
        </is>
      </c>
      <c r="H273" s="5" t="n">
        <v>46213.97228414705</v>
      </c>
      <c r="I27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73">
        <f>IF(AND(Ocorrencias[[#This Row],[Status]]&lt;&gt;"Fechada",TODAY()&gt;Ocorrencias[[#This Row],[Prazo]]),"SIM","")</f>
        <v/>
      </c>
      <c r="K273">
        <f>IFERROR(VLOOKUP(Ocorrencias[[#This Row],[Local]],Unidades!A:B,2,FALSE),"")</f>
        <v/>
      </c>
      <c r="L273" s="7">
        <f>IF(Ocorrencias[[#This Row],[Status]]="Fechada","",TODAY()-Ocorrencias[[#This Row],[DataAbertura]])</f>
        <v/>
      </c>
    </row>
    <row r="274">
      <c r="A274" t="inlineStr">
        <is>
          <t>OS-2937</t>
        </is>
      </c>
      <c r="B274" t="inlineStr">
        <is>
          <t>Calha entupida no prédio C-20</t>
        </is>
      </c>
      <c r="C274" t="inlineStr">
        <is>
          <t>Calha do prédio C-20 transbordando em dia de chuva.</t>
        </is>
      </c>
      <c r="D274" t="inlineStr">
        <is>
          <t>ETA Ribeirão Fundo</t>
        </is>
      </c>
      <c r="E274" t="inlineStr">
        <is>
          <t>Baixa</t>
        </is>
      </c>
      <c r="G274" t="inlineStr">
        <is>
          <t>Fechada</t>
        </is>
      </c>
      <c r="H274" s="5" t="n">
        <v>46214.77285474152</v>
      </c>
      <c r="I27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74">
        <f>IF(AND(Ocorrencias[[#This Row],[Status]]&lt;&gt;"Fechada",TODAY()&gt;Ocorrencias[[#This Row],[Prazo]]),"SIM","")</f>
        <v/>
      </c>
      <c r="K274">
        <f>IFERROR(VLOOKUP(Ocorrencias[[#This Row],[Local]],Unidades!A:B,2,FALSE),"")</f>
        <v/>
      </c>
      <c r="L274" s="7">
        <f>IF(Ocorrencias[[#This Row],[Status]]="Fechada","",TODAY()-Ocorrencias[[#This Row],[DataAbertura]])</f>
        <v/>
      </c>
    </row>
    <row r="275">
      <c r="A275" t="inlineStr">
        <is>
          <t>OS-2938</t>
        </is>
      </c>
      <c r="B275" t="inlineStr">
        <is>
          <t>Aquecimento no mancal do motor D-18</t>
        </is>
      </c>
      <c r="C275" t="inlineStr">
        <is>
          <t>Mancal do motor D-18 acima da temperatura usual na medição com termômetro infravermelho.</t>
        </is>
      </c>
      <c r="D275" t="inlineStr">
        <is>
          <t>Torre de Telecomunicação Morro Alto</t>
        </is>
      </c>
      <c r="E275" t="inlineStr">
        <is>
          <t>Média</t>
        </is>
      </c>
      <c r="F275" t="inlineStr">
        <is>
          <t>Murilo Paiva</t>
        </is>
      </c>
      <c r="G275" t="inlineStr">
        <is>
          <t>Fechada</t>
        </is>
      </c>
      <c r="H275" s="5" t="n">
        <v>46215.54148089156</v>
      </c>
      <c r="I27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75">
        <f>IF(AND(Ocorrencias[[#This Row],[Status]]&lt;&gt;"Fechada",TODAY()&gt;Ocorrencias[[#This Row],[Prazo]]),"SIM","")</f>
        <v/>
      </c>
      <c r="K275">
        <f>IFERROR(VLOOKUP(Ocorrencias[[#This Row],[Local]],Unidades!A:B,2,FALSE),"")</f>
        <v/>
      </c>
      <c r="L275" s="7">
        <f>IF(Ocorrencias[[#This Row],[Status]]="Fechada","",TODAY()-Ocorrencias[[#This Row],[DataAbertura]])</f>
        <v/>
      </c>
    </row>
    <row r="276">
      <c r="A276" t="inlineStr">
        <is>
          <t>OS-2939</t>
        </is>
      </c>
      <c r="B276" t="inlineStr">
        <is>
          <t>Calha entupida no prédio M-08</t>
        </is>
      </c>
      <c r="C276" t="inlineStr">
        <is>
          <t>Calha do prédio M-08 transbordando em dia de chuva.</t>
        </is>
      </c>
      <c r="D276" t="inlineStr">
        <is>
          <t>Usina Fotovoltaica Planalto</t>
        </is>
      </c>
      <c r="E276" t="inlineStr">
        <is>
          <t>Alta</t>
        </is>
      </c>
      <c r="G276" t="inlineStr">
        <is>
          <t>Aberta</t>
        </is>
      </c>
      <c r="H276" s="5" t="n">
        <v>46216.34482926382</v>
      </c>
      <c r="I27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76">
        <f>IF(AND(Ocorrencias[[#This Row],[Status]]&lt;&gt;"Fechada",TODAY()&gt;Ocorrencias[[#This Row],[Prazo]]),"SIM","")</f>
        <v/>
      </c>
      <c r="K276">
        <f>IFERROR(VLOOKUP(Ocorrencias[[#This Row],[Local]],Unidades!A:B,2,FALSE),"")</f>
        <v/>
      </c>
      <c r="L276" s="7">
        <f>IF(Ocorrencias[[#This Row],[Status]]="Fechada","",TODAY()-Ocorrencias[[#This Row],[DataAbertura]])</f>
        <v/>
      </c>
    </row>
    <row r="277">
      <c r="A277" t="inlineStr">
        <is>
          <t>OS-2940</t>
        </is>
      </c>
      <c r="B277" t="inlineStr">
        <is>
          <t>Portão da área A-19 emperrado</t>
        </is>
      </c>
      <c r="C277" t="inlineStr">
        <is>
          <t>Portão de acesso da área A-19 exige força excessiva para abrir.</t>
        </is>
      </c>
      <c r="D277" t="inlineStr">
        <is>
          <t>Subestação Norte</t>
        </is>
      </c>
      <c r="E277" t="inlineStr">
        <is>
          <t>Alta</t>
        </is>
      </c>
      <c r="F277" t="inlineStr">
        <is>
          <t>Cíntia Freitas</t>
        </is>
      </c>
      <c r="G277" t="inlineStr">
        <is>
          <t>Fechada</t>
        </is>
      </c>
      <c r="H277" s="5" t="n">
        <v>46217.15928874719</v>
      </c>
      <c r="I27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77">
        <f>IF(AND(Ocorrencias[[#This Row],[Status]]&lt;&gt;"Fechada",TODAY()&gt;Ocorrencias[[#This Row],[Prazo]]),"SIM","")</f>
        <v/>
      </c>
      <c r="K277">
        <f>IFERROR(VLOOKUP(Ocorrencias[[#This Row],[Local]],Unidades!A:B,2,FALSE),"")</f>
        <v/>
      </c>
      <c r="L277" s="7">
        <f>IF(Ocorrencias[[#This Row],[Status]]="Fechada","",TODAY()-Ocorrencias[[#This Row],[DataAbertura]])</f>
        <v/>
      </c>
    </row>
    <row r="278">
      <c r="A278" t="inlineStr">
        <is>
          <t>OS-2941</t>
        </is>
      </c>
      <c r="B278" t="inlineStr">
        <is>
          <t>Portão da área D-34 emperrado</t>
        </is>
      </c>
      <c r="C278" t="inlineStr">
        <is>
          <t>Portão de acesso da área D-34 exige força excessiva para abrir.</t>
        </is>
      </c>
      <c r="D278" t="inlineStr">
        <is>
          <t>Booster Parque das Águas</t>
        </is>
      </c>
      <c r="E278" t="inlineStr">
        <is>
          <t>Alta</t>
        </is>
      </c>
      <c r="F278" t="inlineStr">
        <is>
          <t>Natália Cordeiro</t>
        </is>
      </c>
      <c r="G278" t="inlineStr">
        <is>
          <t>Fechada</t>
        </is>
      </c>
      <c r="H278" s="5" t="n">
        <v>46217.96263711945</v>
      </c>
      <c r="I27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78">
        <f>IF(AND(Ocorrencias[[#This Row],[Status]]&lt;&gt;"Fechada",TODAY()&gt;Ocorrencias[[#This Row],[Prazo]]),"SIM","")</f>
        <v/>
      </c>
      <c r="K278">
        <f>IFERROR(VLOOKUP(Ocorrencias[[#This Row],[Local]],Unidades!A:B,2,FALSE),"")</f>
        <v/>
      </c>
      <c r="L278" s="7">
        <f>IF(Ocorrencias[[#This Row],[Status]]="Fechada","",TODAY()-Ocorrencias[[#This Row],[DataAbertura]])</f>
        <v/>
      </c>
    </row>
    <row r="279">
      <c r="A279" t="inlineStr">
        <is>
          <t>OS-2942</t>
        </is>
      </c>
      <c r="B279" t="inlineStr">
        <is>
          <t>Disjuntor desarmando no painel F-14</t>
        </is>
      </c>
      <c r="C279" t="inlineStr">
        <is>
          <t>Disjuntor do painel F-14 desarmou três vezes no turno. Carga dentro do nominal.</t>
        </is>
      </c>
      <c r="D279" t="inlineStr">
        <is>
          <t>Oficina Mecânica Central</t>
        </is>
      </c>
      <c r="E279" t="inlineStr">
        <is>
          <t>Alta</t>
        </is>
      </c>
      <c r="F279" t="inlineStr">
        <is>
          <t>Ingrid Queiroz</t>
        </is>
      </c>
      <c r="G279" t="inlineStr">
        <is>
          <t>Fechada</t>
        </is>
      </c>
      <c r="H279" s="5" t="n">
        <v>46218.74029104726</v>
      </c>
      <c r="I27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79">
        <f>IF(AND(Ocorrencias[[#This Row],[Status]]&lt;&gt;"Fechada",TODAY()&gt;Ocorrencias[[#This Row],[Prazo]]),"SIM","")</f>
        <v/>
      </c>
      <c r="K279">
        <f>IFERROR(VLOOKUP(Ocorrencias[[#This Row],[Local]],Unidades!A:B,2,FALSE),"")</f>
        <v/>
      </c>
      <c r="L279" s="7">
        <f>IF(Ocorrencias[[#This Row],[Status]]="Fechada","",TODAY()-Ocorrencias[[#This Row],[DataAbertura]])</f>
        <v/>
      </c>
    </row>
    <row r="280">
      <c r="A280" t="inlineStr">
        <is>
          <t>OS-2943</t>
        </is>
      </c>
      <c r="B280" t="inlineStr">
        <is>
          <t>Válvula P-07 não fecha por completo</t>
        </is>
      </c>
      <c r="C280" t="inlineStr">
        <is>
          <t>Válvula P-07 com passagem residual mesmo totalmente fechada. Possível desgaste da sede.</t>
        </is>
      </c>
      <c r="D280" t="inlineStr">
        <is>
          <t>Centro de Operações</t>
        </is>
      </c>
      <c r="E280" t="inlineStr">
        <is>
          <t>Média</t>
        </is>
      </c>
      <c r="F280" t="inlineStr">
        <is>
          <t>Wesley Cardoso</t>
        </is>
      </c>
      <c r="G280" t="inlineStr">
        <is>
          <t>Fechada</t>
        </is>
      </c>
      <c r="H280" s="5" t="n">
        <v>46219.54572275285</v>
      </c>
      <c r="I28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80">
        <f>IF(AND(Ocorrencias[[#This Row],[Status]]&lt;&gt;"Fechada",TODAY()&gt;Ocorrencias[[#This Row],[Prazo]]),"SIM","")</f>
        <v/>
      </c>
      <c r="K280">
        <f>IFERROR(VLOOKUP(Ocorrencias[[#This Row],[Local]],Unidades!A:B,2,FALSE),"")</f>
        <v/>
      </c>
      <c r="L280" s="7">
        <f>IF(Ocorrencias[[#This Row],[Status]]="Fechada","",TODAY()-Ocorrencias[[#This Row],[DataAbertura]])</f>
        <v/>
      </c>
    </row>
    <row r="281">
      <c r="A281" t="inlineStr">
        <is>
          <t>OS-2944</t>
        </is>
      </c>
      <c r="B281" t="inlineStr">
        <is>
          <t>Calha entupida no prédio F-19</t>
        </is>
      </c>
      <c r="C281" t="inlineStr">
        <is>
          <t>Calha do prédio F-19 transbordando em dia de chuva.</t>
        </is>
      </c>
      <c r="D281" t="inlineStr">
        <is>
          <t>Base Operacional Norte</t>
        </is>
      </c>
      <c r="E281" t="inlineStr">
        <is>
          <t>Alta</t>
        </is>
      </c>
      <c r="F281" t="inlineStr">
        <is>
          <t>Lívia Montenegro</t>
        </is>
      </c>
      <c r="G281" t="inlineStr">
        <is>
          <t>Em andamento</t>
        </is>
      </c>
      <c r="H281" s="5" t="n">
        <v>46220.35601556954</v>
      </c>
      <c r="I28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81">
        <f>IF(AND(Ocorrencias[[#This Row],[Status]]&lt;&gt;"Fechada",TODAY()&gt;Ocorrencias[[#This Row],[Prazo]]),"SIM","")</f>
        <v/>
      </c>
      <c r="K281">
        <f>IFERROR(VLOOKUP(Ocorrencias[[#This Row],[Local]],Unidades!A:B,2,FALSE),"")</f>
        <v/>
      </c>
      <c r="L281" s="7">
        <f>IF(Ocorrencias[[#This Row],[Status]]="Fechada","",TODAY()-Ocorrencias[[#This Row],[DataAbertura]])</f>
        <v/>
      </c>
    </row>
    <row r="282">
      <c r="A282" t="inlineStr">
        <is>
          <t>OS-2945</t>
        </is>
      </c>
      <c r="B282" t="inlineStr">
        <is>
          <t>Correia do ventilador H-11 desgastada</t>
        </is>
      </c>
      <c r="C282" t="inlineStr">
        <is>
          <t>Correia do ventilador H-11 com trincas visíveis e folga excessiva.</t>
        </is>
      </c>
      <c r="D282" t="inlineStr">
        <is>
          <t>Reservatório Industrial</t>
        </is>
      </c>
      <c r="E282" t="inlineStr">
        <is>
          <t>Baixa</t>
        </is>
      </c>
      <c r="F282" t="inlineStr">
        <is>
          <t>Igor Fonseca</t>
        </is>
      </c>
      <c r="G282" t="inlineStr">
        <is>
          <t>Fechada</t>
        </is>
      </c>
      <c r="H282" s="5" t="n">
        <v>46221.13505838625</v>
      </c>
      <c r="I28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82">
        <f>IF(AND(Ocorrencias[[#This Row],[Status]]&lt;&gt;"Fechada",TODAY()&gt;Ocorrencias[[#This Row],[Prazo]]),"SIM","")</f>
        <v/>
      </c>
      <c r="K282">
        <f>IFERROR(VLOOKUP(Ocorrencias[[#This Row],[Local]],Unidades!A:B,2,FALSE),"")</f>
        <v/>
      </c>
      <c r="L282" s="7">
        <f>IF(Ocorrencias[[#This Row],[Status]]="Fechada","",TODAY()-Ocorrencias[[#This Row],[DataAbertura]])</f>
        <v/>
      </c>
    </row>
    <row r="283">
      <c r="A283" t="inlineStr">
        <is>
          <t>OS-2946</t>
        </is>
      </c>
      <c r="B283" t="inlineStr">
        <is>
          <t>Falha de comunicação no CLP V-10</t>
        </is>
      </c>
      <c r="C283" t="inlineStr">
        <is>
          <t>CLP V-10 perde comunicação com o supervisório em intervalos irregulares.</t>
        </is>
      </c>
      <c r="D283" t="inlineStr">
        <is>
          <t>Usina Fotovoltaica Planalto</t>
        </is>
      </c>
      <c r="E283" t="inlineStr">
        <is>
          <t>Crítica</t>
        </is>
      </c>
      <c r="F283" t="inlineStr">
        <is>
          <t>Úrsula Maia</t>
        </is>
      </c>
      <c r="G283" t="inlineStr">
        <is>
          <t>Fechada</t>
        </is>
      </c>
      <c r="H283" s="5" t="n">
        <v>46221.93840675851</v>
      </c>
      <c r="I28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83">
        <f>IF(AND(Ocorrencias[[#This Row],[Status]]&lt;&gt;"Fechada",TODAY()&gt;Ocorrencias[[#This Row],[Prazo]]),"SIM","")</f>
        <v/>
      </c>
      <c r="K283">
        <f>IFERROR(VLOOKUP(Ocorrencias[[#This Row],[Local]],Unidades!A:B,2,FALSE),"")</f>
        <v/>
      </c>
      <c r="L283" s="7">
        <f>IF(Ocorrencias[[#This Row],[Status]]="Fechada","",TODAY()-Ocorrencias[[#This Row],[DataAbertura]])</f>
        <v/>
      </c>
    </row>
    <row r="284">
      <c r="A284" t="inlineStr">
        <is>
          <t>OS-2947</t>
        </is>
      </c>
      <c r="B284" t="inlineStr">
        <is>
          <t>Lâmpada queimada na área H-24</t>
        </is>
      </c>
      <c r="C284" t="inlineStr">
        <is>
          <t>Iluminação da área H-24 sem funcionar. Reposição de lâmpada e conferência do reator.</t>
        </is>
      </c>
      <c r="D284" t="inlineStr">
        <is>
          <t>Subestação Oeste</t>
        </is>
      </c>
      <c r="E284" t="inlineStr">
        <is>
          <t>Baixa</t>
        </is>
      </c>
      <c r="F284" t="inlineStr">
        <is>
          <t>Aline Rocha</t>
        </is>
      </c>
      <c r="G284" t="inlineStr">
        <is>
          <t>Fechada</t>
        </is>
      </c>
      <c r="H284" s="5" t="n">
        <v>46222.71397735299</v>
      </c>
      <c r="I28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84">
        <f>IF(AND(Ocorrencias[[#This Row],[Status]]&lt;&gt;"Fechada",TODAY()&gt;Ocorrencias[[#This Row],[Prazo]]),"SIM","")</f>
        <v/>
      </c>
      <c r="K284">
        <f>IFERROR(VLOOKUP(Ocorrencias[[#This Row],[Local]],Unidades!A:B,2,FALSE),"")</f>
        <v/>
      </c>
      <c r="L284" s="7">
        <f>IF(Ocorrencias[[#This Row],[Status]]="Fechada","",TODAY()-Ocorrencias[[#This Row],[DataAbertura]])</f>
        <v/>
      </c>
    </row>
    <row r="285">
      <c r="A285" t="inlineStr">
        <is>
          <t>OS-2948</t>
        </is>
      </c>
      <c r="B285" t="inlineStr">
        <is>
          <t>Sensor de nível sem leitura no tanque H-40</t>
        </is>
      </c>
      <c r="C285" t="inlineStr">
        <is>
          <t>Supervisório mostra leitura congelada do sensor de nível do tanque H-40.</t>
        </is>
      </c>
      <c r="D285" t="inlineStr">
        <is>
          <t>Estação Elevatória Leste</t>
        </is>
      </c>
      <c r="E285" t="inlineStr">
        <is>
          <t>Baixa</t>
        </is>
      </c>
      <c r="F285" t="inlineStr">
        <is>
          <t>Priscila Guedes</t>
        </is>
      </c>
      <c r="G285" t="inlineStr">
        <is>
          <t>Em andamento</t>
        </is>
      </c>
      <c r="H285" s="5" t="n">
        <v>46223.53607572524</v>
      </c>
      <c r="I28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85">
        <f>IF(AND(Ocorrencias[[#This Row],[Status]]&lt;&gt;"Fechada",TODAY()&gt;Ocorrencias[[#This Row],[Prazo]]),"SIM","")</f>
        <v/>
      </c>
      <c r="K285">
        <f>IFERROR(VLOOKUP(Ocorrencias[[#This Row],[Local]],Unidades!A:B,2,FALSE),"")</f>
        <v/>
      </c>
      <c r="L285" s="7">
        <f>IF(Ocorrencias[[#This Row],[Status]]="Fechada","",TODAY()-Ocorrencias[[#This Row],[DataAbertura]])</f>
        <v/>
      </c>
    </row>
    <row r="286">
      <c r="A286" t="inlineStr">
        <is>
          <t>OS-2949</t>
        </is>
      </c>
      <c r="B286" t="inlineStr">
        <is>
          <t>Falha de comunicação no CLP V-40</t>
        </is>
      </c>
      <c r="C286" t="inlineStr">
        <is>
          <t>CLP V-40 perde comunicação com o supervisório em intervalos irregulares.</t>
        </is>
      </c>
      <c r="D286" t="inlineStr">
        <is>
          <t>ETA Serra Azul</t>
        </is>
      </c>
      <c r="E286" t="inlineStr">
        <is>
          <t>Baixa</t>
        </is>
      </c>
      <c r="F286" t="inlineStr">
        <is>
          <t>Eduardo Salles</t>
        </is>
      </c>
      <c r="G286" t="inlineStr">
        <is>
          <t>Fechada</t>
        </is>
      </c>
      <c r="H286" s="5" t="n">
        <v>46224.32136854195</v>
      </c>
      <c r="I28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86">
        <f>IF(AND(Ocorrencias[[#This Row],[Status]]&lt;&gt;"Fechada",TODAY()&gt;Ocorrencias[[#This Row],[Prazo]]),"SIM","")</f>
        <v/>
      </c>
      <c r="K286">
        <f>IFERROR(VLOOKUP(Ocorrencias[[#This Row],[Local]],Unidades!A:B,2,FALSE),"")</f>
        <v/>
      </c>
      <c r="L286" s="7">
        <f>IF(Ocorrencias[[#This Row],[Status]]="Fechada","",TODAY()-Ocorrencias[[#This Row],[DataAbertura]])</f>
        <v/>
      </c>
    </row>
    <row r="287">
      <c r="A287" t="inlineStr">
        <is>
          <t>OS-2950</t>
        </is>
      </c>
      <c r="B287" t="inlineStr">
        <is>
          <t>Ruído anormal no motor V-24</t>
        </is>
      </c>
      <c r="C287" t="inlineStr">
        <is>
          <t>Ruído intermitente no motor V-24 durante a partida. Temperatura normal ao toque.</t>
        </is>
      </c>
      <c r="D287" t="inlineStr">
        <is>
          <t>Base Operacional Litoral</t>
        </is>
      </c>
      <c r="E287" t="inlineStr">
        <is>
          <t>Alta</t>
        </is>
      </c>
      <c r="F287" t="inlineStr">
        <is>
          <t>Bernardo Leal</t>
        </is>
      </c>
      <c r="G287" t="inlineStr">
        <is>
          <t>Fechada</t>
        </is>
      </c>
      <c r="H287" s="5" t="n">
        <v>46225.12332802531</v>
      </c>
      <c r="I28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87">
        <f>IF(AND(Ocorrencias[[#This Row],[Status]]&lt;&gt;"Fechada",TODAY()&gt;Ocorrencias[[#This Row],[Prazo]]),"SIM","")</f>
        <v/>
      </c>
      <c r="K287">
        <f>IFERROR(VLOOKUP(Ocorrencias[[#This Row],[Local]],Unidades!A:B,2,FALSE),"")</f>
        <v/>
      </c>
      <c r="L287" s="7">
        <f>IF(Ocorrencias[[#This Row],[Status]]="Fechada","",TODAY()-Ocorrencias[[#This Row],[DataAbertura]])</f>
        <v/>
      </c>
    </row>
    <row r="288">
      <c r="A288" t="inlineStr">
        <is>
          <t>OS-2951</t>
        </is>
      </c>
      <c r="B288" t="inlineStr">
        <is>
          <t>Falha de comunicação no CLP V-38</t>
        </is>
      </c>
      <c r="C288" t="inlineStr">
        <is>
          <t>CLP V-38 perde comunicação com o supervisório em intervalos irregulares.</t>
        </is>
      </c>
      <c r="D288" t="inlineStr">
        <is>
          <t>Subestação Norte</t>
        </is>
      </c>
      <c r="E288" t="inlineStr">
        <is>
          <t>Média</t>
        </is>
      </c>
      <c r="F288" t="inlineStr">
        <is>
          <t>Yara Medeiros</t>
        </is>
      </c>
      <c r="G288" t="inlineStr">
        <is>
          <t>Fechada</t>
        </is>
      </c>
      <c r="H288" s="5" t="n">
        <v>46225.89264861979</v>
      </c>
      <c r="I28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88">
        <f>IF(AND(Ocorrencias[[#This Row],[Status]]&lt;&gt;"Fechada",TODAY()&gt;Ocorrencias[[#This Row],[Prazo]]),"SIM","")</f>
        <v/>
      </c>
      <c r="K288">
        <f>IFERROR(VLOOKUP(Ocorrencias[[#This Row],[Local]],Unidades!A:B,2,FALSE),"")</f>
        <v/>
      </c>
      <c r="L288" s="7">
        <f>IF(Ocorrencias[[#This Row],[Status]]="Fechada","",TODAY()-Ocorrencias[[#This Row],[DataAbertura]])</f>
        <v/>
      </c>
    </row>
    <row r="289">
      <c r="A289" t="inlineStr">
        <is>
          <t>OS-2952</t>
        </is>
      </c>
      <c r="B289" t="inlineStr">
        <is>
          <t>Aquecimento no mancal do motor T-33</t>
        </is>
      </c>
      <c r="C289" t="inlineStr">
        <is>
          <t>Mancal do motor T-33 acima da temperatura usual na medição com termômetro infravermelho.</t>
        </is>
      </c>
      <c r="D289" t="inlineStr">
        <is>
          <t>Subestação Norte</t>
        </is>
      </c>
      <c r="E289" t="inlineStr">
        <is>
          <t>Alta</t>
        </is>
      </c>
      <c r="F289" t="inlineStr">
        <is>
          <t>Caio Rangel</t>
        </is>
      </c>
      <c r="G289" t="inlineStr">
        <is>
          <t>Fechada</t>
        </is>
      </c>
      <c r="H289" s="5" t="n">
        <v>46226.69113588094</v>
      </c>
      <c r="I28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89">
        <f>IF(AND(Ocorrencias[[#This Row],[Status]]&lt;&gt;"Fechada",TODAY()&gt;Ocorrencias[[#This Row],[Prazo]]),"SIM","")</f>
        <v/>
      </c>
      <c r="K289">
        <f>IFERROR(VLOOKUP(Ocorrencias[[#This Row],[Local]],Unidades!A:B,2,FALSE),"")</f>
        <v/>
      </c>
      <c r="L289" s="7">
        <f>IF(Ocorrencias[[#This Row],[Status]]="Fechada","",TODAY()-Ocorrencias[[#This Row],[DataAbertura]])</f>
        <v/>
      </c>
    </row>
    <row r="290">
      <c r="A290" t="inlineStr">
        <is>
          <t>OS-2953</t>
        </is>
      </c>
      <c r="B290" t="inlineStr">
        <is>
          <t>Bomba dosadora C-20 sem recalque</t>
        </is>
      </c>
      <c r="C290" t="inlineStr">
        <is>
          <t>Bomba dosadora C-20 liga mas não dosa. Mangueira sem obstrução aparente.</t>
        </is>
      </c>
      <c r="D290" t="inlineStr">
        <is>
          <t>Laboratorio de Controle</t>
        </is>
      </c>
      <c r="E290" t="inlineStr">
        <is>
          <t>Baixa</t>
        </is>
      </c>
      <c r="F290" t="inlineStr">
        <is>
          <t>Zeca Moraes</t>
        </is>
      </c>
      <c r="G290" t="inlineStr">
        <is>
          <t>Fechada</t>
        </is>
      </c>
      <c r="H290" s="5" t="n">
        <v>46227.50281758653</v>
      </c>
      <c r="I29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90">
        <f>IF(AND(Ocorrencias[[#This Row],[Status]]&lt;&gt;"Fechada",TODAY()&gt;Ocorrencias[[#This Row],[Prazo]]),"SIM","")</f>
        <v/>
      </c>
      <c r="K290">
        <f>IFERROR(VLOOKUP(Ocorrencias[[#This Row],[Local]],Unidades!A:B,2,FALSE),"")</f>
        <v/>
      </c>
      <c r="L290" s="7">
        <f>IF(Ocorrencias[[#This Row],[Status]]="Fechada","",TODAY()-Ocorrencias[[#This Row],[DataAbertura]])</f>
        <v/>
      </c>
    </row>
    <row r="291">
      <c r="A291" t="inlineStr">
        <is>
          <t>OS-2954</t>
        </is>
      </c>
      <c r="B291" t="inlineStr">
        <is>
          <t>Troca de filtro do compressor M-12</t>
        </is>
      </c>
      <c r="C291" t="inlineStr">
        <is>
          <t>Filtro de ar do compressor M-12 saturado. Substituição preventiva.</t>
        </is>
      </c>
      <c r="D291" t="inlineStr">
        <is>
          <t>ETE Vale do Sol</t>
        </is>
      </c>
      <c r="E291" t="inlineStr">
        <is>
          <t>Baixa</t>
        </is>
      </c>
      <c r="F291" t="inlineStr">
        <is>
          <t>Simone Carvalho</t>
        </is>
      </c>
      <c r="G291" t="inlineStr">
        <is>
          <t>Fechada</t>
        </is>
      </c>
      <c r="H291" s="5" t="n">
        <v>46228.26311040323</v>
      </c>
      <c r="I29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91">
        <f>IF(AND(Ocorrencias[[#This Row],[Status]]&lt;&gt;"Fechada",TODAY()&gt;Ocorrencias[[#This Row],[Prazo]]),"SIM","")</f>
        <v/>
      </c>
      <c r="K291">
        <f>IFERROR(VLOOKUP(Ocorrencias[[#This Row],[Local]],Unidades!A:B,2,FALSE),"")</f>
        <v/>
      </c>
      <c r="L291" s="7">
        <f>IF(Ocorrencias[[#This Row],[Status]]="Fechada","",TODAY()-Ocorrencias[[#This Row],[DataAbertura]])</f>
        <v/>
      </c>
    </row>
    <row r="292">
      <c r="A292" t="inlineStr">
        <is>
          <t>OS-2955</t>
        </is>
      </c>
      <c r="B292" t="inlineStr">
        <is>
          <t>Tomada sem energia na sala P-34</t>
        </is>
      </c>
      <c r="C292" t="inlineStr">
        <is>
          <t>Tomada de serviço da sala P-34 sem tensão.</t>
        </is>
      </c>
      <c r="D292" t="inlineStr">
        <is>
          <t>Subestação Sul</t>
        </is>
      </c>
      <c r="E292" t="inlineStr">
        <is>
          <t>Baixa</t>
        </is>
      </c>
      <c r="F292" t="inlineStr">
        <is>
          <t>Kleber Antunes</t>
        </is>
      </c>
      <c r="G292" t="inlineStr">
        <is>
          <t>Fechada</t>
        </is>
      </c>
      <c r="H292" s="5" t="n">
        <v>46229.08868099771</v>
      </c>
      <c r="I29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92">
        <f>IF(AND(Ocorrencias[[#This Row],[Status]]&lt;&gt;"Fechada",TODAY()&gt;Ocorrencias[[#This Row],[Prazo]]),"SIM","")</f>
        <v/>
      </c>
      <c r="K292">
        <f>IFERROR(VLOOKUP(Ocorrencias[[#This Row],[Local]],Unidades!A:B,2,FALSE),"")</f>
        <v/>
      </c>
      <c r="L292" s="7">
        <f>IF(Ocorrencias[[#This Row],[Status]]="Fechada","",TODAY()-Ocorrencias[[#This Row],[DataAbertura]])</f>
        <v/>
      </c>
    </row>
    <row r="293">
      <c r="A293" t="inlineStr">
        <is>
          <t>OS-2956</t>
        </is>
      </c>
      <c r="B293" t="inlineStr">
        <is>
          <t>Lâmpada queimada na área H-22</t>
        </is>
      </c>
      <c r="C293" t="inlineStr">
        <is>
          <t>Iluminação da área H-22 sem funcionar. Reposição de lâmpada e conferência do reator.</t>
        </is>
      </c>
      <c r="D293" t="inlineStr">
        <is>
          <t>Base Operacional Sul</t>
        </is>
      </c>
      <c r="E293" t="inlineStr">
        <is>
          <t>Alta</t>
        </is>
      </c>
      <c r="F293" t="inlineStr">
        <is>
          <t>Jonas Teles</t>
        </is>
      </c>
      <c r="G293" t="inlineStr">
        <is>
          <t>Fechada</t>
        </is>
      </c>
      <c r="H293" s="5" t="n">
        <v>46229.87050159219</v>
      </c>
      <c r="I29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93">
        <f>IF(AND(Ocorrencias[[#This Row],[Status]]&lt;&gt;"Fechada",TODAY()&gt;Ocorrencias[[#This Row],[Prazo]]),"SIM","")</f>
        <v/>
      </c>
      <c r="K293">
        <f>IFERROR(VLOOKUP(Ocorrencias[[#This Row],[Local]],Unidades!A:B,2,FALSE),"")</f>
        <v/>
      </c>
      <c r="L293" s="7">
        <f>IF(Ocorrencias[[#This Row],[Status]]="Fechada","",TODAY()-Ocorrencias[[#This Row],[DataAbertura]])</f>
        <v/>
      </c>
    </row>
    <row r="294">
      <c r="A294" t="inlineStr">
        <is>
          <t>OS-2957</t>
        </is>
      </c>
      <c r="B294" t="inlineStr">
        <is>
          <t>Exaustor P-11 parado</t>
        </is>
      </c>
      <c r="C294" t="inlineStr">
        <is>
          <t>Exaustor P-11 não parte. Fusível íntegro.</t>
        </is>
      </c>
      <c r="D294" t="inlineStr">
        <is>
          <t>Captação Rio Verde</t>
        </is>
      </c>
      <c r="E294" t="inlineStr">
        <is>
          <t>Alta</t>
        </is>
      </c>
      <c r="F294" t="inlineStr">
        <is>
          <t>Simone Carvalho</t>
        </is>
      </c>
      <c r="G294" t="inlineStr">
        <is>
          <t>Fechada</t>
        </is>
      </c>
      <c r="H294" s="5" t="n">
        <v>46230.68426663111</v>
      </c>
      <c r="I29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94">
        <f>IF(AND(Ocorrencias[[#This Row],[Status]]&lt;&gt;"Fechada",TODAY()&gt;Ocorrencias[[#This Row],[Prazo]]),"SIM","")</f>
        <v/>
      </c>
      <c r="K294">
        <f>IFERROR(VLOOKUP(Ocorrencias[[#This Row],[Local]],Unidades!A:B,2,FALSE),"")</f>
        <v/>
      </c>
      <c r="L294" s="7">
        <f>IF(Ocorrencias[[#This Row],[Status]]="Fechada","",TODAY()-Ocorrencias[[#This Row],[DataAbertura]])</f>
        <v/>
      </c>
    </row>
    <row r="295">
      <c r="A295" t="inlineStr">
        <is>
          <t>OS-2958</t>
        </is>
      </c>
      <c r="B295" t="inlineStr">
        <is>
          <t>Válvula A-22 não fecha por completo</t>
        </is>
      </c>
      <c r="C295" t="inlineStr">
        <is>
          <t>Válvula A-22 com passagem residual mesmo totalmente fechada. Possível desgaste da sede.</t>
        </is>
      </c>
      <c r="D295" t="inlineStr">
        <is>
          <t>Oficina Elétrica Central</t>
        </is>
      </c>
      <c r="E295" t="inlineStr">
        <is>
          <t>Baixa</t>
        </is>
      </c>
      <c r="F295" t="inlineStr">
        <is>
          <t>Alex Nogueira</t>
        </is>
      </c>
      <c r="G295" t="inlineStr">
        <is>
          <t>Fechada</t>
        </is>
      </c>
      <c r="H295" s="5" t="n">
        <v>46231.4271983367</v>
      </c>
      <c r="I29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95">
        <f>IF(AND(Ocorrencias[[#This Row],[Status]]&lt;&gt;"Fechada",TODAY()&gt;Ocorrencias[[#This Row],[Prazo]]),"SIM","")</f>
        <v/>
      </c>
      <c r="K295">
        <f>IFERROR(VLOOKUP(Ocorrencias[[#This Row],[Local]],Unidades!A:B,2,FALSE),"")</f>
        <v/>
      </c>
      <c r="L295" s="7">
        <f>IF(Ocorrencias[[#This Row],[Status]]="Fechada","",TODAY()-Ocorrencias[[#This Row],[DataAbertura]])</f>
        <v/>
      </c>
    </row>
    <row r="296">
      <c r="A296" t="inlineStr">
        <is>
          <t>OS-2959</t>
        </is>
      </c>
      <c r="B296" t="inlineStr">
        <is>
          <t>Vazamento de óleo no redutor C-40</t>
        </is>
      </c>
      <c r="C296" t="inlineStr">
        <is>
          <t>Gotejamento de óleo no redutor C-40. Nível ainda dentro da faixa.</t>
        </is>
      </c>
      <c r="D296" t="inlineStr">
        <is>
          <t>Base Operacional Sul</t>
        </is>
      </c>
      <c r="E296" t="inlineStr">
        <is>
          <t>Alta</t>
        </is>
      </c>
      <c r="F296" t="inlineStr">
        <is>
          <t>Zeca Moraes</t>
        </is>
      </c>
      <c r="G296" t="inlineStr">
        <is>
          <t>Em andamento</t>
        </is>
      </c>
      <c r="H296" s="5" t="n">
        <v>46232.23749115341</v>
      </c>
      <c r="I29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96">
        <f>IF(AND(Ocorrencias[[#This Row],[Status]]&lt;&gt;"Fechada",TODAY()&gt;Ocorrencias[[#This Row],[Prazo]]),"SIM","")</f>
        <v/>
      </c>
      <c r="K296">
        <f>IFERROR(VLOOKUP(Ocorrencias[[#This Row],[Local]],Unidades!A:B,2,FALSE),"")</f>
        <v/>
      </c>
      <c r="L296" s="7">
        <f>IF(Ocorrencias[[#This Row],[Status]]="Fechada","",TODAY()-Ocorrencias[[#This Row],[DataAbertura]])</f>
        <v/>
      </c>
    </row>
    <row r="297">
      <c r="A297" t="inlineStr">
        <is>
          <t>OS-2960</t>
        </is>
      </c>
      <c r="B297" t="inlineStr">
        <is>
          <t>Troca de filtro do compressor E-22</t>
        </is>
      </c>
      <c r="C297" t="inlineStr">
        <is>
          <t>Filtro de ar do compressor E-22 saturado. Substituição preventiva.</t>
        </is>
      </c>
      <c r="D297" t="inlineStr">
        <is>
          <t>Base Operacional Litoral</t>
        </is>
      </c>
      <c r="E297" t="inlineStr">
        <is>
          <t>Média</t>
        </is>
      </c>
      <c r="G297" t="inlineStr">
        <is>
          <t>Aberta</t>
        </is>
      </c>
      <c r="H297" s="5" t="n">
        <v>46233.0602839701</v>
      </c>
      <c r="I29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97">
        <f>IF(AND(Ocorrencias[[#This Row],[Status]]&lt;&gt;"Fechada",TODAY()&gt;Ocorrencias[[#This Row],[Prazo]]),"SIM","")</f>
        <v/>
      </c>
      <c r="K297">
        <f>IFERROR(VLOOKUP(Ocorrencias[[#This Row],[Local]],Unidades!A:B,2,FALSE),"")</f>
        <v/>
      </c>
      <c r="L297" s="7">
        <f>IF(Ocorrencias[[#This Row],[Status]]="Fechada","",TODAY()-Ocorrencias[[#This Row],[DataAbertura]])</f>
        <v/>
      </c>
    </row>
    <row r="298">
      <c r="A298" t="inlineStr">
        <is>
          <t>OS-2961</t>
        </is>
      </c>
      <c r="B298" t="inlineStr">
        <is>
          <t>Medidor de vazão M-18 com leitura instável</t>
        </is>
      </c>
      <c r="C298" t="inlineStr">
        <is>
          <t>Medidor de vazão M-18 oscila sem variação de processo.</t>
        </is>
      </c>
      <c r="D298" t="inlineStr">
        <is>
          <t>Estação Elevatória Leste</t>
        </is>
      </c>
      <c r="E298" t="inlineStr">
        <is>
          <t>Média</t>
        </is>
      </c>
      <c r="F298" t="inlineStr">
        <is>
          <t>Vagner Pacheco</t>
        </is>
      </c>
      <c r="G298" t="inlineStr">
        <is>
          <t>Fechada</t>
        </is>
      </c>
      <c r="H298" s="5" t="n">
        <v>46233.8268267868</v>
      </c>
      <c r="I29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98">
        <f>IF(AND(Ocorrencias[[#This Row],[Status]]&lt;&gt;"Fechada",TODAY()&gt;Ocorrencias[[#This Row],[Prazo]]),"SIM","")</f>
        <v/>
      </c>
      <c r="K298">
        <f>IFERROR(VLOOKUP(Ocorrencias[[#This Row],[Local]],Unidades!A:B,2,FALSE),"")</f>
        <v/>
      </c>
      <c r="L298" s="7">
        <f>IF(Ocorrencias[[#This Row],[Status]]="Fechada","",TODAY()-Ocorrencias[[#This Row],[DataAbertura]])</f>
        <v/>
      </c>
    </row>
    <row r="299">
      <c r="A299" t="inlineStr">
        <is>
          <t>OS-2962</t>
        </is>
      </c>
      <c r="B299" t="inlineStr">
        <is>
          <t>Falha de comunicação no CLP R-13</t>
        </is>
      </c>
      <c r="C299" t="inlineStr">
        <is>
          <t>CLP R-13 perde comunicação com o supervisório em intervalos irregulares.</t>
        </is>
      </c>
      <c r="D299" t="inlineStr">
        <is>
          <t>Base Operacional Litoral</t>
        </is>
      </c>
      <c r="E299" t="inlineStr">
        <is>
          <t>Baixa</t>
        </is>
      </c>
      <c r="F299" t="inlineStr">
        <is>
          <t>Lívia Montenegro</t>
        </is>
      </c>
      <c r="G299" t="inlineStr">
        <is>
          <t>Fechada</t>
        </is>
      </c>
      <c r="H299" s="5" t="n">
        <v>46234.62600849239</v>
      </c>
      <c r="I29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299">
        <f>IF(AND(Ocorrencias[[#This Row],[Status]]&lt;&gt;"Fechada",TODAY()&gt;Ocorrencias[[#This Row],[Prazo]]),"SIM","")</f>
        <v/>
      </c>
      <c r="K299">
        <f>IFERROR(VLOOKUP(Ocorrencias[[#This Row],[Local]],Unidades!A:B,2,FALSE),"")</f>
        <v/>
      </c>
      <c r="L299" s="7">
        <f>IF(Ocorrencias[[#This Row],[Status]]="Fechada","",TODAY()-Ocorrencias[[#This Row],[DataAbertura]])</f>
        <v/>
      </c>
    </row>
    <row r="300">
      <c r="A300" t="inlineStr">
        <is>
          <t>OS-2963</t>
        </is>
      </c>
      <c r="B300" t="inlineStr">
        <is>
          <t>Aquecimento no mancal do motor M-03</t>
        </is>
      </c>
      <c r="C300" t="inlineStr">
        <is>
          <t>Mancal do motor M-03 acima da temperatura usual na medição com termômetro infravermelho.</t>
        </is>
      </c>
      <c r="D300" t="inlineStr">
        <is>
          <t>ETA Ribeirão Fundo</t>
        </is>
      </c>
      <c r="E300" t="inlineStr">
        <is>
          <t>Baixa</t>
        </is>
      </c>
      <c r="G300" t="inlineStr">
        <is>
          <t>Aberta</t>
        </is>
      </c>
      <c r="H300" s="5" t="n">
        <v>46235.43977353132</v>
      </c>
      <c r="I30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00">
        <f>IF(AND(Ocorrencias[[#This Row],[Status]]&lt;&gt;"Fechada",TODAY()&gt;Ocorrencias[[#This Row],[Prazo]]),"SIM","")</f>
        <v/>
      </c>
      <c r="K300">
        <f>IFERROR(VLOOKUP(Ocorrencias[[#This Row],[Local]],Unidades!A:B,2,FALSE),"")</f>
        <v/>
      </c>
      <c r="L300" s="7">
        <f>IF(Ocorrencias[[#This Row],[Status]]="Fechada","",TODAY()-Ocorrencias[[#This Row],[DataAbertura]])</f>
        <v/>
      </c>
    </row>
    <row r="301">
      <c r="A301" t="inlineStr">
        <is>
          <t>OS-2964</t>
        </is>
      </c>
      <c r="B301" t="inlineStr">
        <is>
          <t>Aquecimento no mancal do motor T-13</t>
        </is>
      </c>
      <c r="C301" t="inlineStr">
        <is>
          <t>Mancal do motor T-13 acima da temperatura usual na medição com termômetro infravermelho.</t>
        </is>
      </c>
      <c r="D301" t="inlineStr">
        <is>
          <t>Reservatório Santa Luzia</t>
        </is>
      </c>
      <c r="E301" t="inlineStr">
        <is>
          <t>Média</t>
        </is>
      </c>
      <c r="F301" t="inlineStr">
        <is>
          <t>Alex Nogueira</t>
        </is>
      </c>
      <c r="G301" t="inlineStr">
        <is>
          <t>Em andamento</t>
        </is>
      </c>
      <c r="H301" s="5" t="n">
        <v>46236.21951079246</v>
      </c>
      <c r="I30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01">
        <f>IF(AND(Ocorrencias[[#This Row],[Status]]&lt;&gt;"Fechada",TODAY()&gt;Ocorrencias[[#This Row],[Prazo]]),"SIM","")</f>
        <v/>
      </c>
      <c r="K301">
        <f>IFERROR(VLOOKUP(Ocorrencias[[#This Row],[Local]],Unidades!A:B,2,FALSE),"")</f>
        <v/>
      </c>
      <c r="L301" s="7">
        <f>IF(Ocorrencias[[#This Row],[Status]]="Fechada","",TODAY()-Ocorrencias[[#This Row],[DataAbertura]])</f>
        <v/>
      </c>
    </row>
    <row r="302">
      <c r="A302" t="inlineStr">
        <is>
          <t>OS-2965</t>
        </is>
      </c>
      <c r="B302" t="inlineStr">
        <is>
          <t>Infiltração na parede da casa de bombas M-24</t>
        </is>
      </c>
      <c r="C302" t="inlineStr">
        <is>
          <t>Mancha de umidade crescente na parede da casa de bombas M-24.</t>
        </is>
      </c>
      <c r="D302" t="inlineStr">
        <is>
          <t>Estação de Bombeamento Três Pontes</t>
        </is>
      </c>
      <c r="E302" t="inlineStr">
        <is>
          <t>Alta</t>
        </is>
      </c>
      <c r="F302" t="inlineStr">
        <is>
          <t>Ingrid Queiroz</t>
        </is>
      </c>
      <c r="G302" t="inlineStr">
        <is>
          <t>Em andamento</t>
        </is>
      </c>
      <c r="H302" s="5" t="n">
        <v>46237.02008138695</v>
      </c>
      <c r="I30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02">
        <f>IF(AND(Ocorrencias[[#This Row],[Status]]&lt;&gt;"Fechada",TODAY()&gt;Ocorrencias[[#This Row],[Prazo]]),"SIM","")</f>
        <v/>
      </c>
      <c r="K302">
        <f>IFERROR(VLOOKUP(Ocorrencias[[#This Row],[Local]],Unidades!A:B,2,FALSE),"")</f>
        <v/>
      </c>
      <c r="L302" s="7">
        <f>IF(Ocorrencias[[#This Row],[Status]]="Fechada","",TODAY()-Ocorrencias[[#This Row],[DataAbertura]])</f>
        <v/>
      </c>
    </row>
    <row r="303">
      <c r="A303" t="inlineStr">
        <is>
          <t>OS-2966</t>
        </is>
      </c>
      <c r="B303" t="inlineStr">
        <is>
          <t>Vazamento na bomba G-32</t>
        </is>
      </c>
      <c r="C303" t="inlineStr">
        <is>
          <t>Vazamento pelo selo mecânico da bomba G-32. Piso molhado ao redor da base.</t>
        </is>
      </c>
      <c r="D303" t="inlineStr">
        <is>
          <t>Reservatório Alto da Colina</t>
        </is>
      </c>
      <c r="E303" t="inlineStr">
        <is>
          <t>Média</t>
        </is>
      </c>
      <c r="G303" t="inlineStr">
        <is>
          <t>Aberta</t>
        </is>
      </c>
      <c r="H303" s="5" t="n">
        <v>46237.82759642586</v>
      </c>
      <c r="I30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03">
        <f>IF(AND(Ocorrencias[[#This Row],[Status]]&lt;&gt;"Fechada",TODAY()&gt;Ocorrencias[[#This Row],[Prazo]]),"SIM","")</f>
        <v/>
      </c>
      <c r="K303">
        <f>IFERROR(VLOOKUP(Ocorrencias[[#This Row],[Local]],Unidades!A:B,2,FALSE),"")</f>
        <v/>
      </c>
      <c r="L303" s="7">
        <f>IF(Ocorrencias[[#This Row],[Status]]="Fechada","",TODAY()-Ocorrencias[[#This Row],[DataAbertura]])</f>
        <v/>
      </c>
    </row>
    <row r="304">
      <c r="A304" t="inlineStr">
        <is>
          <t>OS-2967</t>
        </is>
      </c>
      <c r="B304" t="inlineStr">
        <is>
          <t>Disjuntor desarmando no painel T-36</t>
        </is>
      </c>
      <c r="C304" t="inlineStr">
        <is>
          <t>Disjuntor do painel T-36 desarmou três vezes no turno. Carga dentro do nominal.</t>
        </is>
      </c>
      <c r="D304" t="inlineStr">
        <is>
          <t>Pátio de Veículos</t>
        </is>
      </c>
      <c r="E304" t="inlineStr">
        <is>
          <t>Alta</t>
        </is>
      </c>
      <c r="F304" t="inlineStr">
        <is>
          <t>Glória Sampaio</t>
        </is>
      </c>
      <c r="G304" t="inlineStr">
        <is>
          <t>Fechada</t>
        </is>
      </c>
      <c r="H304" s="5" t="n">
        <v>46238.6274725759</v>
      </c>
      <c r="I30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04">
        <f>IF(AND(Ocorrencias[[#This Row],[Status]]&lt;&gt;"Fechada",TODAY()&gt;Ocorrencias[[#This Row],[Prazo]]),"SIM","")</f>
        <v/>
      </c>
      <c r="K304">
        <f>IFERROR(VLOOKUP(Ocorrencias[[#This Row],[Local]],Unidades!A:B,2,FALSE),"")</f>
        <v/>
      </c>
      <c r="L304" s="7">
        <f>IF(Ocorrencias[[#This Row],[Status]]="Fechada","",TODAY()-Ocorrencias[[#This Row],[DataAbertura]])</f>
        <v/>
      </c>
    </row>
    <row r="305">
      <c r="A305" t="inlineStr">
        <is>
          <t>OS-2968</t>
        </is>
      </c>
      <c r="B305" t="inlineStr">
        <is>
          <t>Correia do ventilador C-10 desgastada</t>
        </is>
      </c>
      <c r="C305" t="inlineStr">
        <is>
          <t>Correia do ventilador C-10 com trincas visíveis e folga excessiva.</t>
        </is>
      </c>
      <c r="D305" t="inlineStr">
        <is>
          <t>Oficina Mecânica Central</t>
        </is>
      </c>
      <c r="E305" t="inlineStr">
        <is>
          <t>Crítica</t>
        </is>
      </c>
      <c r="G305" t="inlineStr">
        <is>
          <t>Aberta</t>
        </is>
      </c>
      <c r="H305" s="5" t="n">
        <v>46239.3815153926</v>
      </c>
      <c r="I30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05">
        <f>IF(AND(Ocorrencias[[#This Row],[Status]]&lt;&gt;"Fechada",TODAY()&gt;Ocorrencias[[#This Row],[Prazo]]),"SIM","")</f>
        <v/>
      </c>
      <c r="K305">
        <f>IFERROR(VLOOKUP(Ocorrencias[[#This Row],[Local]],Unidades!A:B,2,FALSE),"")</f>
        <v/>
      </c>
      <c r="L305" s="7">
        <f>IF(Ocorrencias[[#This Row],[Status]]="Fechada","",TODAY()-Ocorrencias[[#This Row],[DataAbertura]])</f>
        <v/>
      </c>
    </row>
    <row r="306">
      <c r="A306" t="inlineStr">
        <is>
          <t>OS-2969</t>
        </is>
      </c>
      <c r="B306" t="inlineStr">
        <is>
          <t>Sensor de nível sem leitura no tanque G-31</t>
        </is>
      </c>
      <c r="C306" t="inlineStr">
        <is>
          <t>Supervisório mostra leitura congelada do sensor de nível do tanque G-31.</t>
        </is>
      </c>
      <c r="D306" t="inlineStr">
        <is>
          <t>ETE Rio Claro</t>
        </is>
      </c>
      <c r="E306" t="inlineStr">
        <is>
          <t>Média</t>
        </is>
      </c>
      <c r="F306" t="inlineStr">
        <is>
          <t>Caio Rangel</t>
        </is>
      </c>
      <c r="G306" t="inlineStr">
        <is>
          <t>Fechada</t>
        </is>
      </c>
      <c r="H306" s="5" t="n">
        <v>46240.17375265375</v>
      </c>
      <c r="I30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06">
        <f>IF(AND(Ocorrencias[[#This Row],[Status]]&lt;&gt;"Fechada",TODAY()&gt;Ocorrencias[[#This Row],[Prazo]]),"SIM","")</f>
        <v/>
      </c>
      <c r="K306">
        <f>IFERROR(VLOOKUP(Ocorrencias[[#This Row],[Local]],Unidades!A:B,2,FALSE),"")</f>
        <v/>
      </c>
      <c r="L306" s="7">
        <f>IF(Ocorrencias[[#This Row],[Status]]="Fechada","",TODAY()-Ocorrencias[[#This Row],[DataAbertura]])</f>
        <v/>
      </c>
    </row>
    <row r="307">
      <c r="A307" t="inlineStr">
        <is>
          <t>OS-2970</t>
        </is>
      </c>
      <c r="B307" t="inlineStr">
        <is>
          <t>Calha entupida no prédio E-02</t>
        </is>
      </c>
      <c r="C307" t="inlineStr">
        <is>
          <t>Calha do prédio E-02 transbordando em dia de chuva.</t>
        </is>
      </c>
      <c r="D307" t="inlineStr">
        <is>
          <t>Oficina Mecânica Central</t>
        </is>
      </c>
      <c r="E307" t="inlineStr">
        <is>
          <t>Média</t>
        </is>
      </c>
      <c r="G307" t="inlineStr">
        <is>
          <t>Aberta</t>
        </is>
      </c>
      <c r="H307" s="5" t="n">
        <v>46241.00765658156</v>
      </c>
      <c r="I30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07">
        <f>IF(AND(Ocorrencias[[#This Row],[Status]]&lt;&gt;"Fechada",TODAY()&gt;Ocorrencias[[#This Row],[Prazo]]),"SIM","")</f>
        <v/>
      </c>
      <c r="K307">
        <f>IFERROR(VLOOKUP(Ocorrencias[[#This Row],[Local]],Unidades!A:B,2,FALSE),"")</f>
        <v/>
      </c>
      <c r="L307" s="7">
        <f>IF(Ocorrencias[[#This Row],[Status]]="Fechada","",TODAY()-Ocorrencias[[#This Row],[DataAbertura]])</f>
        <v/>
      </c>
    </row>
    <row r="308">
      <c r="A308" t="inlineStr">
        <is>
          <t>OS-2971</t>
        </is>
      </c>
      <c r="B308" t="inlineStr">
        <is>
          <t>Correia do ventilador D-29 desgastada</t>
        </is>
      </c>
      <c r="C308" t="inlineStr">
        <is>
          <t>Correia do ventilador D-29 com trincas visíveis e folga excessiva.</t>
        </is>
      </c>
      <c r="D308" t="inlineStr">
        <is>
          <t>ETA Central</t>
        </is>
      </c>
      <c r="E308" t="inlineStr">
        <is>
          <t>Média</t>
        </is>
      </c>
      <c r="G308" t="inlineStr">
        <is>
          <t>Aberta</t>
        </is>
      </c>
      <c r="H308" s="5" t="n">
        <v>46241.75406050937</v>
      </c>
      <c r="I30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08">
        <f>IF(AND(Ocorrencias[[#This Row],[Status]]&lt;&gt;"Fechada",TODAY()&gt;Ocorrencias[[#This Row],[Prazo]]),"SIM","")</f>
        <v/>
      </c>
      <c r="K308">
        <f>IFERROR(VLOOKUP(Ocorrencias[[#This Row],[Local]],Unidades!A:B,2,FALSE),"")</f>
        <v/>
      </c>
      <c r="L308" s="7">
        <f>IF(Ocorrencias[[#This Row],[Status]]="Fechada","",TODAY()-Ocorrencias[[#This Row],[DataAbertura]])</f>
        <v/>
      </c>
    </row>
    <row r="309">
      <c r="A309" t="inlineStr">
        <is>
          <t>OS-2972</t>
        </is>
      </c>
      <c r="B309" t="inlineStr">
        <is>
          <t>Portão da área G-11 emperrado</t>
        </is>
      </c>
      <c r="C309" t="inlineStr">
        <is>
          <t>Portão de acesso da área G-11 exige força excessiva para abrir.</t>
        </is>
      </c>
      <c r="D309" t="inlineStr">
        <is>
          <t>Booster Parque das Águas</t>
        </is>
      </c>
      <c r="E309" t="inlineStr">
        <is>
          <t>Média</t>
        </is>
      </c>
      <c r="F309" t="inlineStr">
        <is>
          <t>Cíntia Freitas</t>
        </is>
      </c>
      <c r="G309" t="inlineStr">
        <is>
          <t>Fechada</t>
        </is>
      </c>
      <c r="H309" s="5" t="n">
        <v>46242.57199221497</v>
      </c>
      <c r="I30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09">
        <f>IF(AND(Ocorrencias[[#This Row],[Status]]&lt;&gt;"Fechada",TODAY()&gt;Ocorrencias[[#This Row],[Prazo]]),"SIM","")</f>
        <v/>
      </c>
      <c r="K309">
        <f>IFERROR(VLOOKUP(Ocorrencias[[#This Row],[Local]],Unidades!A:B,2,FALSE),"")</f>
        <v/>
      </c>
      <c r="L309" s="7">
        <f>IF(Ocorrencias[[#This Row],[Status]]="Fechada","",TODAY()-Ocorrencias[[#This Row],[DataAbertura]])</f>
        <v/>
      </c>
    </row>
    <row r="310">
      <c r="A310" t="inlineStr">
        <is>
          <t>OS-2973</t>
        </is>
      </c>
      <c r="B310" t="inlineStr">
        <is>
          <t>Pintura descascada na estrutura A-18</t>
        </is>
      </c>
      <c r="C310" t="inlineStr">
        <is>
          <t>Estrutura metálica A-18 com pontos de corrosão sob a pintura.</t>
        </is>
      </c>
      <c r="D310" t="inlineStr">
        <is>
          <t>Subestação Sul</t>
        </is>
      </c>
      <c r="E310" t="inlineStr">
        <is>
          <t>Alta</t>
        </is>
      </c>
      <c r="G310" t="inlineStr">
        <is>
          <t>Aberta</t>
        </is>
      </c>
      <c r="H310" s="5" t="n">
        <v>46243.35520169833</v>
      </c>
      <c r="I31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10">
        <f>IF(AND(Ocorrencias[[#This Row],[Status]]&lt;&gt;"Fechada",TODAY()&gt;Ocorrencias[[#This Row],[Prazo]]),"SIM","")</f>
        <v/>
      </c>
      <c r="K310">
        <f>IFERROR(VLOOKUP(Ocorrencias[[#This Row],[Local]],Unidades!A:B,2,FALSE),"")</f>
        <v/>
      </c>
      <c r="L310" s="7">
        <f>IF(Ocorrencias[[#This Row],[Status]]="Fechada","",TODAY()-Ocorrencias[[#This Row],[DataAbertura]])</f>
        <v/>
      </c>
    </row>
    <row r="311">
      <c r="A311" t="inlineStr">
        <is>
          <t>OS-2974</t>
        </is>
      </c>
      <c r="B311" t="inlineStr">
        <is>
          <t>Calha entupida no prédio D-26</t>
        </is>
      </c>
      <c r="C311" t="inlineStr">
        <is>
          <t>Calha do prédio D-26 transbordando em dia de chuva.</t>
        </is>
      </c>
      <c r="D311" t="inlineStr">
        <is>
          <t>Centro de Operações</t>
        </is>
      </c>
      <c r="E311" t="inlineStr">
        <is>
          <t>Alta</t>
        </is>
      </c>
      <c r="F311" t="inlineStr">
        <is>
          <t>Igor Fonseca</t>
        </is>
      </c>
      <c r="G311" t="inlineStr">
        <is>
          <t>Fechada</t>
        </is>
      </c>
      <c r="H311" s="5" t="n"/>
      <c r="I31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11">
        <f>IF(AND(Ocorrencias[[#This Row],[Status]]&lt;&gt;"Fechada",TODAY()&gt;Ocorrencias[[#This Row],[Prazo]]),"SIM","")</f>
        <v/>
      </c>
      <c r="K311">
        <f>IFERROR(VLOOKUP(Ocorrencias[[#This Row],[Local]],Unidades!A:B,2,FALSE),"")</f>
        <v/>
      </c>
      <c r="L311" s="7">
        <f>IF(Ocorrencias[[#This Row],[Status]]="Fechada","",TODAY()-Ocorrencias[[#This Row],[DataAbertura]])</f>
        <v/>
      </c>
    </row>
    <row r="312">
      <c r="A312" t="inlineStr">
        <is>
          <t>OS-2975</t>
        </is>
      </c>
      <c r="B312" t="inlineStr">
        <is>
          <t>Sensor de nível sem leitura no tanque G-07</t>
        </is>
      </c>
      <c r="C312" t="inlineStr">
        <is>
          <t>Supervisório mostra leitura congelada do sensor de nível do tanque G-07.</t>
        </is>
      </c>
      <c r="D312" t="inlineStr">
        <is>
          <t>ETA Central</t>
        </is>
      </c>
      <c r="E312" t="inlineStr">
        <is>
          <t>Baixa</t>
        </is>
      </c>
      <c r="F312" t="inlineStr">
        <is>
          <t>Eduardo Salles</t>
        </is>
      </c>
      <c r="G312" t="inlineStr">
        <is>
          <t>Em andamento</t>
        </is>
      </c>
      <c r="H312" s="5" t="n">
        <v>46244.93967622062</v>
      </c>
      <c r="I31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12">
        <f>IF(AND(Ocorrencias[[#This Row],[Status]]&lt;&gt;"Fechada",TODAY()&gt;Ocorrencias[[#This Row],[Prazo]]),"SIM","")</f>
        <v/>
      </c>
      <c r="K312">
        <f>IFERROR(VLOOKUP(Ocorrencias[[#This Row],[Local]],Unidades!A:B,2,FALSE),"")</f>
        <v/>
      </c>
      <c r="L312" s="7">
        <f>IF(Ocorrencias[[#This Row],[Status]]="Fechada","",TODAY()-Ocorrencias[[#This Row],[DataAbertura]])</f>
        <v/>
      </c>
    </row>
    <row r="313">
      <c r="A313" t="inlineStr">
        <is>
          <t>OS-2976</t>
        </is>
      </c>
      <c r="B313" t="inlineStr">
        <is>
          <t>Correia do ventilador T-22 desgastada</t>
        </is>
      </c>
      <c r="C313" t="inlineStr">
        <is>
          <t>Correia do ventilador T-22 com trincas visíveis e folga excessiva.</t>
        </is>
      </c>
      <c r="D313" t="inlineStr">
        <is>
          <t>Reservatório Santa Luzia</t>
        </is>
      </c>
      <c r="E313" t="inlineStr">
        <is>
          <t>Média</t>
        </is>
      </c>
      <c r="F313" t="inlineStr">
        <is>
          <t>Yara Medeiros</t>
        </is>
      </c>
      <c r="G313" t="inlineStr">
        <is>
          <t>Fechada</t>
        </is>
      </c>
      <c r="H313" s="5" t="n">
        <v>46245.73885792622</v>
      </c>
      <c r="I31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13">
        <f>IF(AND(Ocorrencias[[#This Row],[Status]]&lt;&gt;"Fechada",TODAY()&gt;Ocorrencias[[#This Row],[Prazo]]),"SIM","")</f>
        <v/>
      </c>
      <c r="K313">
        <f>IFERROR(VLOOKUP(Ocorrencias[[#This Row],[Local]],Unidades!A:B,2,FALSE),"")</f>
        <v/>
      </c>
      <c r="L313" s="7">
        <f>IF(Ocorrencias[[#This Row],[Status]]="Fechada","",TODAY()-Ocorrencias[[#This Row],[DataAbertura]])</f>
        <v/>
      </c>
    </row>
    <row r="314">
      <c r="A314" t="inlineStr">
        <is>
          <t>OS-2977</t>
        </is>
      </c>
      <c r="B314" t="inlineStr">
        <is>
          <t>Lâmpada queimada na área H-02</t>
        </is>
      </c>
      <c r="C314" t="inlineStr">
        <is>
          <t>Iluminação da área H-02 sem funcionar. Reposição de lâmpada e conferência do reator.</t>
        </is>
      </c>
      <c r="D314" t="inlineStr">
        <is>
          <t>Sede Administrativa</t>
        </is>
      </c>
      <c r="E314" t="inlineStr">
        <is>
          <t>Média</t>
        </is>
      </c>
      <c r="F314" t="inlineStr">
        <is>
          <t>Fernanda Quintela</t>
        </is>
      </c>
      <c r="G314" t="inlineStr">
        <is>
          <t>Fechada</t>
        </is>
      </c>
      <c r="H314" s="5" t="n">
        <v>46246.53317852069</v>
      </c>
      <c r="I31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14">
        <f>IF(AND(Ocorrencias[[#This Row],[Status]]&lt;&gt;"Fechada",TODAY()&gt;Ocorrencias[[#This Row],[Prazo]]),"SIM","")</f>
        <v/>
      </c>
      <c r="K314">
        <f>IFERROR(VLOOKUP(Ocorrencias[[#This Row],[Local]],Unidades!A:B,2,FALSE),"")</f>
        <v/>
      </c>
      <c r="L314" s="7">
        <f>IF(Ocorrencias[[#This Row],[Status]]="Fechada","",TODAY()-Ocorrencias[[#This Row],[DataAbertura]])</f>
        <v/>
      </c>
    </row>
    <row r="315">
      <c r="A315" t="inlineStr">
        <is>
          <t>OS-2978</t>
        </is>
      </c>
      <c r="B315" t="inlineStr">
        <is>
          <t>Tomada sem energia na sala P-23</t>
        </is>
      </c>
      <c r="C315" t="inlineStr">
        <is>
          <t>Tomada de serviço da sala P-23 sem tensão.</t>
        </is>
      </c>
      <c r="D315" t="inlineStr">
        <is>
          <t>Oficina Mecânica Central</t>
        </is>
      </c>
      <c r="E315" t="inlineStr">
        <is>
          <t>Média</t>
        </is>
      </c>
      <c r="F315" t="inlineStr">
        <is>
          <t>Marcos Vinícius Rocha</t>
        </is>
      </c>
      <c r="G315" t="inlineStr">
        <is>
          <t>Fechada</t>
        </is>
      </c>
      <c r="H315" s="5" t="n">
        <v>46247.34763800406</v>
      </c>
      <c r="I31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15">
        <f>IF(AND(Ocorrencias[[#This Row],[Status]]&lt;&gt;"Fechada",TODAY()&gt;Ocorrencias[[#This Row],[Prazo]]),"SIM","")</f>
        <v/>
      </c>
      <c r="K315">
        <f>IFERROR(VLOOKUP(Ocorrencias[[#This Row],[Local]],Unidades!A:B,2,FALSE),"")</f>
        <v/>
      </c>
      <c r="L315" s="7">
        <f>IF(Ocorrencias[[#This Row],[Status]]="Fechada","",TODAY()-Ocorrencias[[#This Row],[DataAbertura]])</f>
        <v/>
      </c>
    </row>
    <row r="316">
      <c r="A316" t="inlineStr">
        <is>
          <t>OS-2979</t>
        </is>
      </c>
      <c r="B316" t="inlineStr">
        <is>
          <t>Tomada sem energia na sala E-11</t>
        </is>
      </c>
      <c r="C316" t="inlineStr">
        <is>
          <t>Tomada de serviço da sala E-11 sem tensão.</t>
        </is>
      </c>
      <c r="D316" t="inlineStr">
        <is>
          <t>Usina Fotovoltaica Planalto</t>
        </is>
      </c>
      <c r="E316" t="inlineStr">
        <is>
          <t>Média</t>
        </is>
      </c>
      <c r="F316" t="inlineStr">
        <is>
          <t>Érica Andrade</t>
        </is>
      </c>
      <c r="G316" t="inlineStr">
        <is>
          <t>Fechada</t>
        </is>
      </c>
      <c r="H316" s="5" t="n">
        <v>46248.14890304299</v>
      </c>
      <c r="I31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16">
        <f>IF(AND(Ocorrencias[[#This Row],[Status]]&lt;&gt;"Fechada",TODAY()&gt;Ocorrencias[[#This Row],[Prazo]]),"SIM","")</f>
        <v/>
      </c>
      <c r="K316">
        <f>IFERROR(VLOOKUP(Ocorrencias[[#This Row],[Local]],Unidades!A:B,2,FALSE),"")</f>
        <v/>
      </c>
      <c r="L316" s="7">
        <f>IF(Ocorrencias[[#This Row],[Status]]="Fechada","",TODAY()-Ocorrencias[[#This Row],[DataAbertura]])</f>
        <v/>
      </c>
    </row>
    <row r="317">
      <c r="A317" t="inlineStr">
        <is>
          <t>OS-2980</t>
        </is>
      </c>
      <c r="B317" t="inlineStr">
        <is>
          <t>Calha entupida no prédio A-39</t>
        </is>
      </c>
      <c r="C317" t="inlineStr">
        <is>
          <t>Calha do prédio A-39 transbordando em dia de chuva.</t>
        </is>
      </c>
      <c r="D317" t="inlineStr">
        <is>
          <t>Booster Parque das Águas</t>
        </is>
      </c>
      <c r="E317" t="inlineStr">
        <is>
          <t>Alta</t>
        </is>
      </c>
      <c r="F317" t="inlineStr">
        <is>
          <t>Érica Andrade</t>
        </is>
      </c>
      <c r="G317" t="inlineStr">
        <is>
          <t>Em andamento</t>
        </is>
      </c>
      <c r="H317" s="5" t="n">
        <v>46248.90225141525</v>
      </c>
      <c r="I31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17">
        <f>IF(AND(Ocorrencias[[#This Row],[Status]]&lt;&gt;"Fechada",TODAY()&gt;Ocorrencias[[#This Row],[Prazo]]),"SIM","")</f>
        <v/>
      </c>
      <c r="K317">
        <f>IFERROR(VLOOKUP(Ocorrencias[[#This Row],[Local]],Unidades!A:B,2,FALSE),"")</f>
        <v/>
      </c>
      <c r="L317" s="7">
        <f>IF(Ocorrencias[[#This Row],[Status]]="Fechada","",TODAY()-Ocorrencias[[#This Row],[DataAbertura]])</f>
        <v/>
      </c>
    </row>
    <row r="318">
      <c r="A318" t="inlineStr">
        <is>
          <t>OS-2981</t>
        </is>
      </c>
      <c r="B318" t="inlineStr">
        <is>
          <t>Troca de filtro do compressor M-02</t>
        </is>
      </c>
      <c r="C318" t="inlineStr">
        <is>
          <t>Filtro de ar do compressor M-02 saturado. Substituição preventiva.</t>
        </is>
      </c>
      <c r="D318" t="inlineStr">
        <is>
          <t>Estação de Bombeamento Vila Nova</t>
        </is>
      </c>
      <c r="E318" t="inlineStr">
        <is>
          <t>Crítica</t>
        </is>
      </c>
      <c r="G318" t="inlineStr">
        <is>
          <t>Aberta</t>
        </is>
      </c>
      <c r="H318" s="5" t="n">
        <v>46249.73962756528</v>
      </c>
      <c r="I31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18">
        <f>IF(AND(Ocorrencias[[#This Row],[Status]]&lt;&gt;"Fechada",TODAY()&gt;Ocorrencias[[#This Row],[Prazo]]),"SIM","")</f>
        <v/>
      </c>
      <c r="K318">
        <f>IFERROR(VLOOKUP(Ocorrencias[[#This Row],[Local]],Unidades!A:B,2,FALSE),"")</f>
        <v/>
      </c>
      <c r="L318" s="7">
        <f>IF(Ocorrencias[[#This Row],[Status]]="Fechada","",TODAY()-Ocorrencias[[#This Row],[DataAbertura]])</f>
        <v/>
      </c>
    </row>
    <row r="319">
      <c r="A319" t="inlineStr">
        <is>
          <t>OS-2982</t>
        </is>
      </c>
      <c r="B319" t="inlineStr">
        <is>
          <t>Disjuntor desarmando no painel H-39</t>
        </is>
      </c>
      <c r="C319" t="inlineStr">
        <is>
          <t>Disjuntor do painel H-39 desarmou três vezes no turno. Carga dentro do nominal.</t>
        </is>
      </c>
      <c r="D319" t="inlineStr">
        <is>
          <t>Reservatório Industrial</t>
        </is>
      </c>
      <c r="E319" t="inlineStr">
        <is>
          <t>Média</t>
        </is>
      </c>
      <c r="G319" t="inlineStr">
        <is>
          <t>Aberta</t>
        </is>
      </c>
      <c r="H319" s="5" t="n">
        <v>46250.53672593753</v>
      </c>
      <c r="I31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19">
        <f>IF(AND(Ocorrencias[[#This Row],[Status]]&lt;&gt;"Fechada",TODAY()&gt;Ocorrencias[[#This Row],[Prazo]]),"SIM","")</f>
        <v/>
      </c>
      <c r="K319">
        <f>IFERROR(VLOOKUP(Ocorrencias[[#This Row],[Local]],Unidades!A:B,2,FALSE),"")</f>
        <v/>
      </c>
      <c r="L319" s="7">
        <f>IF(Ocorrencias[[#This Row],[Status]]="Fechada","",TODAY()-Ocorrencias[[#This Row],[DataAbertura]])</f>
        <v/>
      </c>
    </row>
    <row r="320">
      <c r="A320" t="inlineStr">
        <is>
          <t>OS-2983</t>
        </is>
      </c>
      <c r="B320" t="inlineStr">
        <is>
          <t>Medidor de vazão F-29 com leitura instável</t>
        </is>
      </c>
      <c r="C320" t="inlineStr">
        <is>
          <t>Medidor de vazão F-29 oscila sem variação de processo.</t>
        </is>
      </c>
      <c r="D320" t="inlineStr">
        <is>
          <t>Booster Morada do Sol</t>
        </is>
      </c>
      <c r="E320" t="inlineStr">
        <is>
          <t>Média</t>
        </is>
      </c>
      <c r="G320" t="inlineStr">
        <is>
          <t>Aberta</t>
        </is>
      </c>
      <c r="H320" s="5" t="n">
        <v>46251.31924097646</v>
      </c>
      <c r="I32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20">
        <f>IF(AND(Ocorrencias[[#This Row],[Status]]&lt;&gt;"Fechada",TODAY()&gt;Ocorrencias[[#This Row],[Prazo]]),"SIM","")</f>
        <v/>
      </c>
      <c r="K320">
        <f>IFERROR(VLOOKUP(Ocorrencias[[#This Row],[Local]],Unidades!A:B,2,FALSE),"")</f>
        <v/>
      </c>
      <c r="L320" s="7">
        <f>IF(Ocorrencias[[#This Row],[Status]]="Fechada","",TODAY()-Ocorrencias[[#This Row],[DataAbertura]])</f>
        <v/>
      </c>
    </row>
    <row r="321">
      <c r="A321" t="inlineStr">
        <is>
          <t>OS-2984</t>
        </is>
      </c>
      <c r="B321" t="inlineStr">
        <is>
          <t>Calha entupida no prédio H-33</t>
        </is>
      </c>
      <c r="C321" t="inlineStr">
        <is>
          <t>Calha do prédio H-33 transbordando em dia de chuva.</t>
        </is>
      </c>
      <c r="D321" t="inlineStr">
        <is>
          <t>Pátio de Veículos</t>
        </is>
      </c>
      <c r="E321" t="inlineStr">
        <is>
          <t>Média</t>
        </is>
      </c>
      <c r="G321" t="inlineStr">
        <is>
          <t>Aberta</t>
        </is>
      </c>
      <c r="H321" s="5" t="n">
        <v>46252.10592268205</v>
      </c>
      <c r="I32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21">
        <f>IF(AND(Ocorrencias[[#This Row],[Status]]&lt;&gt;"Fechada",TODAY()&gt;Ocorrencias[[#This Row],[Prazo]]),"SIM","")</f>
        <v/>
      </c>
      <c r="K321">
        <f>IFERROR(VLOOKUP(Ocorrencias[[#This Row],[Local]],Unidades!A:B,2,FALSE),"")</f>
        <v/>
      </c>
      <c r="L321" s="7">
        <f>IF(Ocorrencias[[#This Row],[Status]]="Fechada","",TODAY()-Ocorrencias[[#This Row],[DataAbertura]])</f>
        <v/>
      </c>
    </row>
    <row r="322">
      <c r="A322" t="inlineStr">
        <is>
          <t>OS-2985</t>
        </is>
      </c>
      <c r="B322" t="inlineStr">
        <is>
          <t>Bomba dosadora V-30 sem recalque</t>
        </is>
      </c>
      <c r="C322" t="inlineStr">
        <is>
          <t>Bomba dosadora V-30 liga mas não dosa. Mangueira sem obstrução aparente.</t>
        </is>
      </c>
      <c r="D322" t="inlineStr">
        <is>
          <t>Usina Fotovoltaica Cerrado</t>
        </is>
      </c>
      <c r="E322" t="inlineStr">
        <is>
          <t>Baixa</t>
        </is>
      </c>
      <c r="G322" t="inlineStr">
        <is>
          <t>Aberta</t>
        </is>
      </c>
      <c r="H322" s="5" t="n">
        <v>46252.9169099432</v>
      </c>
      <c r="I32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22">
        <f>IF(AND(Ocorrencias[[#This Row],[Status]]&lt;&gt;"Fechada",TODAY()&gt;Ocorrencias[[#This Row],[Prazo]]),"SIM","")</f>
        <v/>
      </c>
      <c r="K322">
        <f>IFERROR(VLOOKUP(Ocorrencias[[#This Row],[Local]],Unidades!A:B,2,FALSE),"")</f>
        <v/>
      </c>
      <c r="L322" s="7">
        <f>IF(Ocorrencias[[#This Row],[Status]]="Fechada","",TODAY()-Ocorrencias[[#This Row],[DataAbertura]])</f>
        <v/>
      </c>
    </row>
    <row r="323">
      <c r="A323" t="inlineStr">
        <is>
          <t>OS-2986</t>
        </is>
      </c>
      <c r="B323" t="inlineStr">
        <is>
          <t>Medidor de vazão D-13 com leitura instável</t>
        </is>
      </c>
      <c r="C323" t="inlineStr">
        <is>
          <t>Medidor de vazão D-13 oscila sem variação de processo.</t>
        </is>
      </c>
      <c r="D323" t="inlineStr">
        <is>
          <t>Torre de Telecomunicação Morro Alto</t>
        </is>
      </c>
      <c r="E323" t="inlineStr">
        <is>
          <t>Média</t>
        </is>
      </c>
      <c r="G323" t="inlineStr">
        <is>
          <t>Aberta</t>
        </is>
      </c>
      <c r="H323" s="5" t="n">
        <v>46253.66609164878</v>
      </c>
      <c r="I32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23">
        <f>IF(AND(Ocorrencias[[#This Row],[Status]]&lt;&gt;"Fechada",TODAY()&gt;Ocorrencias[[#This Row],[Prazo]]),"SIM","")</f>
        <v/>
      </c>
      <c r="K323">
        <f>IFERROR(VLOOKUP(Ocorrencias[[#This Row],[Local]],Unidades!A:B,2,FALSE),"")</f>
        <v/>
      </c>
      <c r="L323" s="7">
        <f>IF(Ocorrencias[[#This Row],[Status]]="Fechada","",TODAY()-Ocorrencias[[#This Row],[DataAbertura]])</f>
        <v/>
      </c>
    </row>
    <row r="324">
      <c r="A324" t="inlineStr">
        <is>
          <t>OS-2987</t>
        </is>
      </c>
      <c r="B324" t="inlineStr">
        <is>
          <t>Correia do ventilador A-12 desgastada</t>
        </is>
      </c>
      <c r="C324" t="inlineStr">
        <is>
          <t>Correia do ventilador A-12 com trincas visíveis e folga excessiva.</t>
        </is>
      </c>
      <c r="D324" t="inlineStr">
        <is>
          <t>Adutora Tronco Sul</t>
        </is>
      </c>
      <c r="E324" t="inlineStr">
        <is>
          <t>Média</t>
        </is>
      </c>
      <c r="F324" t="inlineStr">
        <is>
          <t>Érica Andrade</t>
        </is>
      </c>
      <c r="G324" t="inlineStr">
        <is>
          <t>Fechada</t>
        </is>
      </c>
      <c r="H324" s="5" t="n">
        <v>46254.49166224326</v>
      </c>
      <c r="I32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24">
        <f>IF(AND(Ocorrencias[[#This Row],[Status]]&lt;&gt;"Fechada",TODAY()&gt;Ocorrencias[[#This Row],[Prazo]]),"SIM","")</f>
        <v/>
      </c>
      <c r="K324">
        <f>IFERROR(VLOOKUP(Ocorrencias[[#This Row],[Local]],Unidades!A:B,2,FALSE),"")</f>
        <v/>
      </c>
      <c r="L324" s="7">
        <f>IF(Ocorrencias[[#This Row],[Status]]="Fechada","",TODAY()-Ocorrencias[[#This Row],[DataAbertura]])</f>
        <v/>
      </c>
    </row>
    <row r="325">
      <c r="A325" t="inlineStr">
        <is>
          <t>OS-2988</t>
        </is>
      </c>
      <c r="B325" t="inlineStr">
        <is>
          <t>Troca de filtro do compressor F-30</t>
        </is>
      </c>
      <c r="C325" t="inlineStr">
        <is>
          <t>Filtro de ar do compressor F-30 saturado. Substituição preventiva.</t>
        </is>
      </c>
      <c r="D325" t="inlineStr">
        <is>
          <t>Estação Elevatória Leste</t>
        </is>
      </c>
      <c r="E325" t="inlineStr">
        <is>
          <t>Média</t>
        </is>
      </c>
      <c r="F325" t="inlineStr">
        <is>
          <t>Thiago Bastos</t>
        </is>
      </c>
      <c r="G325" t="inlineStr">
        <is>
          <t>Em andamento</t>
        </is>
      </c>
      <c r="H325" s="5" t="n">
        <v>46255.27695505996</v>
      </c>
      <c r="I32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25">
        <f>IF(AND(Ocorrencias[[#This Row],[Status]]&lt;&gt;"Fechada",TODAY()&gt;Ocorrencias[[#This Row],[Prazo]]),"SIM","")</f>
        <v/>
      </c>
      <c r="K325">
        <f>IFERROR(VLOOKUP(Ocorrencias[[#This Row],[Local]],Unidades!A:B,2,FALSE),"")</f>
        <v/>
      </c>
      <c r="L325" s="7">
        <f>IF(Ocorrencias[[#This Row],[Status]]="Fechada","",TODAY()-Ocorrencias[[#This Row],[DataAbertura]])</f>
        <v/>
      </c>
    </row>
    <row r="326">
      <c r="A326" t="inlineStr">
        <is>
          <t>OS-2989</t>
        </is>
      </c>
      <c r="B326" t="inlineStr">
        <is>
          <t>Calha entupida no prédio M-13</t>
        </is>
      </c>
      <c r="C326" t="inlineStr">
        <is>
          <t>Calha do prédio M-13 transbordando em dia de chuva.</t>
        </is>
      </c>
      <c r="D326" t="inlineStr">
        <is>
          <t>ETA Ribeirão Fundo</t>
        </is>
      </c>
      <c r="E326" t="inlineStr">
        <is>
          <t>Alta</t>
        </is>
      </c>
      <c r="G326" t="inlineStr">
        <is>
          <t>Aberta</t>
        </is>
      </c>
      <c r="H326" s="5" t="n">
        <v>46256.05113676556</v>
      </c>
      <c r="I32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26">
        <f>IF(AND(Ocorrencias[[#This Row],[Status]]&lt;&gt;"Fechada",TODAY()&gt;Ocorrencias[[#This Row],[Prazo]]),"SIM","")</f>
        <v/>
      </c>
      <c r="K326">
        <f>IFERROR(VLOOKUP(Ocorrencias[[#This Row],[Local]],Unidades!A:B,2,FALSE),"")</f>
        <v/>
      </c>
      <c r="L326" s="7">
        <f>IF(Ocorrencias[[#This Row],[Status]]="Fechada","",TODAY()-Ocorrencias[[#This Row],[DataAbertura]])</f>
        <v/>
      </c>
    </row>
    <row r="327">
      <c r="A327" t="inlineStr">
        <is>
          <t>OS-2990</t>
        </is>
      </c>
      <c r="B327" t="inlineStr">
        <is>
          <t>Infiltração na parede da casa de bombas H-25</t>
        </is>
      </c>
      <c r="C327" t="inlineStr">
        <is>
          <t>Mancha de umidade crescente na parede da casa de bombas H-25.</t>
        </is>
      </c>
      <c r="D327" t="inlineStr">
        <is>
          <t>ETA Ribeirão Fundo</t>
        </is>
      </c>
      <c r="E327" t="inlineStr">
        <is>
          <t>Média</t>
        </is>
      </c>
      <c r="F327" t="inlineStr">
        <is>
          <t>Úrsula Maia</t>
        </is>
      </c>
      <c r="G327" t="inlineStr">
        <is>
          <t>Fechada</t>
        </is>
      </c>
      <c r="H327" s="5" t="n">
        <v>46256.86004069337</v>
      </c>
      <c r="I32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27">
        <f>IF(AND(Ocorrencias[[#This Row],[Status]]&lt;&gt;"Fechada",TODAY()&gt;Ocorrencias[[#This Row],[Prazo]]),"SIM","")</f>
        <v/>
      </c>
      <c r="K327">
        <f>IFERROR(VLOOKUP(Ocorrencias[[#This Row],[Local]],Unidades!A:B,2,FALSE),"")</f>
        <v/>
      </c>
      <c r="L327" s="7">
        <f>IF(Ocorrencias[[#This Row],[Status]]="Fechada","",TODAY()-Ocorrencias[[#This Row],[DataAbertura]])</f>
        <v/>
      </c>
    </row>
    <row r="328">
      <c r="A328" t="inlineStr">
        <is>
          <t>OS-2991</t>
        </is>
      </c>
      <c r="B328" t="inlineStr">
        <is>
          <t>Portão da área H-07 emperrado</t>
        </is>
      </c>
      <c r="C328" t="inlineStr">
        <is>
          <t>Portão de acesso da área H-07 exige força excessiva para abrir.</t>
        </is>
      </c>
      <c r="D328" t="inlineStr">
        <is>
          <t>Subestação Oeste</t>
        </is>
      </c>
      <c r="E328" t="inlineStr">
        <is>
          <t>Média</t>
        </is>
      </c>
      <c r="F328" t="inlineStr">
        <is>
          <t>Ingrid Queiroz</t>
        </is>
      </c>
      <c r="G328" t="inlineStr">
        <is>
          <t>Em andamento</t>
        </is>
      </c>
      <c r="H328" s="5" t="n">
        <v>46257.64533351007</v>
      </c>
      <c r="I32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28">
        <f>IF(AND(Ocorrencias[[#This Row],[Status]]&lt;&gt;"Fechada",TODAY()&gt;Ocorrencias[[#This Row],[Prazo]]),"SIM","")</f>
        <v/>
      </c>
      <c r="K328">
        <f>IFERROR(VLOOKUP(Ocorrencias[[#This Row],[Local]],Unidades!A:B,2,FALSE),"")</f>
        <v/>
      </c>
      <c r="L328" s="7">
        <f>IF(Ocorrencias[[#This Row],[Status]]="Fechada","",TODAY()-Ocorrencias[[#This Row],[DataAbertura]])</f>
        <v/>
      </c>
    </row>
    <row r="329">
      <c r="A329" t="inlineStr">
        <is>
          <t>OS-2992</t>
        </is>
      </c>
      <c r="B329" t="inlineStr">
        <is>
          <t>Infiltração na parede da casa de bombas E-07</t>
        </is>
      </c>
      <c r="C329" t="inlineStr">
        <is>
          <t>Mancha de umidade crescente na parede da casa de bombas E-07.</t>
        </is>
      </c>
      <c r="D329" t="inlineStr">
        <is>
          <t>ETA Ribeirão Fundo</t>
        </is>
      </c>
      <c r="E329" t="inlineStr">
        <is>
          <t>Média</t>
        </is>
      </c>
      <c r="G329" t="inlineStr">
        <is>
          <t>Aberta</t>
        </is>
      </c>
      <c r="H329" s="5" t="n">
        <v>46258.4702096601</v>
      </c>
      <c r="I32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29">
        <f>IF(AND(Ocorrencias[[#This Row],[Status]]&lt;&gt;"Fechada",TODAY()&gt;Ocorrencias[[#This Row],[Prazo]]),"SIM","")</f>
        <v/>
      </c>
      <c r="K329">
        <f>IFERROR(VLOOKUP(Ocorrencias[[#This Row],[Local]],Unidades!A:B,2,FALSE),"")</f>
        <v/>
      </c>
      <c r="L329" s="7">
        <f>IF(Ocorrencias[[#This Row],[Status]]="Fechada","",TODAY()-Ocorrencias[[#This Row],[DataAbertura]])</f>
        <v/>
      </c>
    </row>
    <row r="330">
      <c r="A330" t="inlineStr">
        <is>
          <t>OS-2993</t>
        </is>
      </c>
      <c r="B330" t="inlineStr">
        <is>
          <t>Troca de filtro do compressor F-01</t>
        </is>
      </c>
      <c r="C330" t="inlineStr">
        <is>
          <t>Filtro de ar do compressor F-01 saturado. Substituição preventiva.</t>
        </is>
      </c>
      <c r="D330" t="inlineStr">
        <is>
          <t>Estação de Bombeamento Vila Nova</t>
        </is>
      </c>
      <c r="E330" t="inlineStr">
        <is>
          <t>Média</t>
        </is>
      </c>
      <c r="G330" t="inlineStr">
        <is>
          <t>Aberta</t>
        </is>
      </c>
      <c r="H330" s="5" t="n">
        <v>46259.24091914347</v>
      </c>
      <c r="I33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30">
        <f>IF(AND(Ocorrencias[[#This Row],[Status]]&lt;&gt;"Fechada",TODAY()&gt;Ocorrencias[[#This Row],[Prazo]]),"SIM","")</f>
        <v/>
      </c>
      <c r="K330">
        <f>IFERROR(VLOOKUP(Ocorrencias[[#This Row],[Local]],Unidades!A:B,2,FALSE),"")</f>
        <v/>
      </c>
      <c r="L330" s="7">
        <f>IF(Ocorrencias[[#This Row],[Status]]="Fechada","",TODAY()-Ocorrencias[[#This Row],[DataAbertura]])</f>
        <v/>
      </c>
    </row>
    <row r="331">
      <c r="A331" t="inlineStr">
        <is>
          <t>OS-2994</t>
        </is>
      </c>
      <c r="B331" t="inlineStr">
        <is>
          <t>Exaustor C-24 parado</t>
        </is>
      </c>
      <c r="C331" t="inlineStr">
        <is>
          <t>Exaustor C-24 não parte. Fusível íntegro.</t>
        </is>
      </c>
      <c r="D331" t="inlineStr">
        <is>
          <t>Subestação Centro</t>
        </is>
      </c>
      <c r="E331" t="inlineStr">
        <is>
          <t>Crítica</t>
        </is>
      </c>
      <c r="G331" t="inlineStr">
        <is>
          <t>Aberta</t>
        </is>
      </c>
      <c r="H331" s="5" t="n">
        <v>46260.06440640462</v>
      </c>
      <c r="I33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31">
        <f>IF(AND(Ocorrencias[[#This Row],[Status]]&lt;&gt;"Fechada",TODAY()&gt;Ocorrencias[[#This Row],[Prazo]]),"SIM","")</f>
        <v/>
      </c>
      <c r="K331">
        <f>IFERROR(VLOOKUP(Ocorrencias[[#This Row],[Local]],Unidades!A:B,2,FALSE),"")</f>
        <v/>
      </c>
      <c r="L331" s="7">
        <f>IF(Ocorrencias[[#This Row],[Status]]="Fechada","",TODAY()-Ocorrencias[[#This Row],[DataAbertura]])</f>
        <v/>
      </c>
    </row>
    <row r="332">
      <c r="A332" t="inlineStr">
        <is>
          <t>OS-2995</t>
        </is>
      </c>
      <c r="B332" t="inlineStr">
        <is>
          <t>Calha entupida no prédio A-30</t>
        </is>
      </c>
      <c r="C332" t="inlineStr">
        <is>
          <t>Calha do prédio A-30 transbordando em dia de chuva.</t>
        </is>
      </c>
      <c r="D332" t="inlineStr">
        <is>
          <t>Pátio de Veículos</t>
        </is>
      </c>
      <c r="E332" t="inlineStr">
        <is>
          <t>Média</t>
        </is>
      </c>
      <c r="F332" t="inlineStr">
        <is>
          <t>Rafael Torres</t>
        </is>
      </c>
      <c r="G332" t="inlineStr">
        <is>
          <t>Em andamento</t>
        </is>
      </c>
      <c r="H332" s="5" t="n">
        <v>46260.82886588798</v>
      </c>
      <c r="I33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32">
        <f>IF(AND(Ocorrencias[[#This Row],[Status]]&lt;&gt;"Fechada",TODAY()&gt;Ocorrencias[[#This Row],[Prazo]]),"SIM","")</f>
        <v/>
      </c>
      <c r="K332">
        <f>IFERROR(VLOOKUP(Ocorrencias[[#This Row],[Local]],Unidades!A:B,2,FALSE),"")</f>
        <v/>
      </c>
      <c r="L332" s="7">
        <f>IF(Ocorrencias[[#This Row],[Status]]="Fechada","",TODAY()-Ocorrencias[[#This Row],[DataAbertura]])</f>
        <v/>
      </c>
    </row>
    <row r="333">
      <c r="A333" t="inlineStr">
        <is>
          <t>OS-2996</t>
        </is>
      </c>
      <c r="B333" t="inlineStr">
        <is>
          <t>Válvula T-06 não fecha por completo</t>
        </is>
      </c>
      <c r="C333" t="inlineStr">
        <is>
          <t>Válvula T-06 com passagem residual mesmo totalmente fechada. Possível desgaste da sede.</t>
        </is>
      </c>
      <c r="D333" t="inlineStr">
        <is>
          <t>Reservatório Alto da Colina</t>
        </is>
      </c>
      <c r="E333" t="inlineStr">
        <is>
          <t>Média</t>
        </is>
      </c>
      <c r="F333" t="inlineStr">
        <is>
          <t>Glória Sampaio</t>
        </is>
      </c>
      <c r="G333" t="inlineStr">
        <is>
          <t>Fechada</t>
        </is>
      </c>
      <c r="H333" s="5" t="n">
        <v>46261.64679759357</v>
      </c>
      <c r="I33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33">
        <f>IF(AND(Ocorrencias[[#This Row],[Status]]&lt;&gt;"Fechada",TODAY()&gt;Ocorrencias[[#This Row],[Prazo]]),"SIM","")</f>
        <v/>
      </c>
      <c r="K333">
        <f>IFERROR(VLOOKUP(Ocorrencias[[#This Row],[Local]],Unidades!A:B,2,FALSE),"")</f>
        <v/>
      </c>
      <c r="L333" s="7">
        <f>IF(Ocorrencias[[#This Row],[Status]]="Fechada","",TODAY()-Ocorrencias[[#This Row],[DataAbertura]])</f>
        <v/>
      </c>
    </row>
    <row r="334">
      <c r="A334" t="inlineStr">
        <is>
          <t>OS-2997</t>
        </is>
      </c>
      <c r="B334" t="inlineStr">
        <is>
          <t>Falha de comunicação no CLP C-12</t>
        </is>
      </c>
      <c r="C334" t="inlineStr">
        <is>
          <t>CLP C-12 perde comunicação com o supervisório em intervalos irregulares.</t>
        </is>
      </c>
      <c r="D334" t="inlineStr">
        <is>
          <t>Booster Parque das Águas</t>
        </is>
      </c>
      <c r="E334" t="inlineStr">
        <is>
          <t>Baixa</t>
        </is>
      </c>
      <c r="G334" t="inlineStr">
        <is>
          <t>Fechada</t>
        </is>
      </c>
      <c r="H334" s="5" t="n"/>
      <c r="I33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34">
        <f>IF(AND(Ocorrencias[[#This Row],[Status]]&lt;&gt;"Fechada",TODAY()&gt;Ocorrencias[[#This Row],[Prazo]]),"SIM","")</f>
        <v/>
      </c>
      <c r="K334">
        <f>IFERROR(VLOOKUP(Ocorrencias[[#This Row],[Local]],Unidades!A:B,2,FALSE),"")</f>
        <v/>
      </c>
      <c r="L334" s="7">
        <f>IF(Ocorrencias[[#This Row],[Status]]="Fechada","",TODAY()-Ocorrencias[[#This Row],[DataAbertura]])</f>
        <v/>
      </c>
    </row>
    <row r="335">
      <c r="A335" t="inlineStr">
        <is>
          <t>OS-2998</t>
        </is>
      </c>
      <c r="B335" t="inlineStr">
        <is>
          <t>Falha de comunicação no CLP G-21</t>
        </is>
      </c>
      <c r="C335" t="inlineStr">
        <is>
          <t>CLP G-21 perde comunicação com o supervisório em intervalos irregulares.</t>
        </is>
      </c>
      <c r="D335" t="inlineStr">
        <is>
          <t>Sede Administrativa</t>
        </is>
      </c>
      <c r="E335" t="inlineStr">
        <is>
          <t>Baixa</t>
        </is>
      </c>
      <c r="F335" t="inlineStr">
        <is>
          <t>Vagner Pacheco</t>
        </is>
      </c>
      <c r="G335" t="inlineStr">
        <is>
          <t>Fechada</t>
        </is>
      </c>
      <c r="H335" s="5" t="n">
        <v>46263.21599433809</v>
      </c>
      <c r="I33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35">
        <f>IF(AND(Ocorrencias[[#This Row],[Status]]&lt;&gt;"Fechada",TODAY()&gt;Ocorrencias[[#This Row],[Prazo]]),"SIM","")</f>
        <v/>
      </c>
      <c r="K335">
        <f>IFERROR(VLOOKUP(Ocorrencias[[#This Row],[Local]],Unidades!A:B,2,FALSE),"")</f>
        <v/>
      </c>
      <c r="L335" s="7">
        <f>IF(Ocorrencias[[#This Row],[Status]]="Fechada","",TODAY()-Ocorrencias[[#This Row],[DataAbertura]])</f>
        <v/>
      </c>
    </row>
    <row r="336">
      <c r="A336" t="inlineStr">
        <is>
          <t>OS-2999</t>
        </is>
      </c>
      <c r="B336" t="inlineStr">
        <is>
          <t>Disjuntor desarmando no painel M-20</t>
        </is>
      </c>
      <c r="C336" t="inlineStr">
        <is>
          <t>Disjuntor do painel M-20 desarmou três vezes no turno. Carga dentro do nominal.</t>
        </is>
      </c>
      <c r="D336" t="inlineStr">
        <is>
          <t>ETA Central</t>
        </is>
      </c>
      <c r="E336" t="inlineStr">
        <is>
          <t>Baixa</t>
        </is>
      </c>
      <c r="F336" t="inlineStr">
        <is>
          <t>Cíntia Freitas</t>
        </is>
      </c>
      <c r="G336" t="inlineStr">
        <is>
          <t>Fechada</t>
        </is>
      </c>
      <c r="H336" s="5" t="n">
        <v>46264.04781493257</v>
      </c>
      <c r="I33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36">
        <f>IF(AND(Ocorrencias[[#This Row],[Status]]&lt;&gt;"Fechada",TODAY()&gt;Ocorrencias[[#This Row],[Prazo]]),"SIM","")</f>
        <v/>
      </c>
      <c r="K336">
        <f>IFERROR(VLOOKUP(Ocorrencias[[#This Row],[Local]],Unidades!A:B,2,FALSE),"")</f>
        <v/>
      </c>
      <c r="L336" s="7">
        <f>IF(Ocorrencias[[#This Row],[Status]]="Fechada","",TODAY()-Ocorrencias[[#This Row],[DataAbertura]])</f>
        <v/>
      </c>
    </row>
    <row r="337">
      <c r="A337" t="inlineStr">
        <is>
          <t>OS-3000</t>
        </is>
      </c>
      <c r="B337" t="inlineStr">
        <is>
          <t>Ruído anormal no motor A-06</t>
        </is>
      </c>
      <c r="C337" t="inlineStr">
        <is>
          <t>Ruído intermitente no motor A-06 durante a partida. Temperatura normal ao toque.</t>
        </is>
      </c>
      <c r="D337" t="inlineStr">
        <is>
          <t>Laboratório de Controle</t>
        </is>
      </c>
      <c r="E337" t="inlineStr">
        <is>
          <t>Alta</t>
        </is>
      </c>
      <c r="G337" t="inlineStr">
        <is>
          <t>Fechada</t>
        </is>
      </c>
      <c r="H337" s="5" t="n">
        <v>46264.83588552705</v>
      </c>
      <c r="I33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37">
        <f>IF(AND(Ocorrencias[[#This Row],[Status]]&lt;&gt;"Fechada",TODAY()&gt;Ocorrencias[[#This Row],[Prazo]]),"SIM","")</f>
        <v/>
      </c>
      <c r="K337">
        <f>IFERROR(VLOOKUP(Ocorrencias[[#This Row],[Local]],Unidades!A:B,2,FALSE),"")</f>
        <v/>
      </c>
      <c r="L337" s="7">
        <f>IF(Ocorrencias[[#This Row],[Status]]="Fechada","",TODAY()-Ocorrencias[[#This Row],[DataAbertura]])</f>
        <v/>
      </c>
    </row>
    <row r="338">
      <c r="A338" t="inlineStr">
        <is>
          <t>OS-3001</t>
        </is>
      </c>
      <c r="B338" t="inlineStr">
        <is>
          <t>Correia do ventilador H-12 desgastada</t>
        </is>
      </c>
      <c r="C338" t="inlineStr">
        <is>
          <t>Correia do ventilador H-12 com trincas visíveis e folga excessiva.</t>
        </is>
      </c>
      <c r="D338" t="inlineStr">
        <is>
          <t>Reservatório Industrial</t>
        </is>
      </c>
      <c r="E338" t="inlineStr">
        <is>
          <t>Média</t>
        </is>
      </c>
      <c r="F338" t="inlineStr">
        <is>
          <t>Cíntia Freitas</t>
        </is>
      </c>
      <c r="G338" t="inlineStr">
        <is>
          <t>Fechada</t>
        </is>
      </c>
      <c r="H338" s="5" t="n">
        <v>46265.58853945486</v>
      </c>
      <c r="I33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38">
        <f>IF(AND(Ocorrencias[[#This Row],[Status]]&lt;&gt;"Fechada",TODAY()&gt;Ocorrencias[[#This Row],[Prazo]]),"SIM","")</f>
        <v/>
      </c>
      <c r="K338">
        <f>IFERROR(VLOOKUP(Ocorrencias[[#This Row],[Local]],Unidades!A:B,2,FALSE),"")</f>
        <v/>
      </c>
      <c r="L338" s="7">
        <f>IF(Ocorrencias[[#This Row],[Status]]="Fechada","",TODAY()-Ocorrencias[[#This Row],[DataAbertura]])</f>
        <v/>
      </c>
    </row>
    <row r="339">
      <c r="A339" t="inlineStr">
        <is>
          <t>OS-3002</t>
        </is>
      </c>
      <c r="B339" t="inlineStr">
        <is>
          <t>Bomba dosadora T-28 sem recalque</t>
        </is>
      </c>
      <c r="C339" t="inlineStr">
        <is>
          <t>Bomba dosadora T-28 liga mas não dosa. Mangueira sem obstrução aparente.</t>
        </is>
      </c>
      <c r="D339" t="inlineStr">
        <is>
          <t>Reservatório Alto da Colina</t>
        </is>
      </c>
      <c r="E339" t="inlineStr">
        <is>
          <t>Média</t>
        </is>
      </c>
      <c r="F339" t="inlineStr">
        <is>
          <t>Glória Sampaio</t>
        </is>
      </c>
      <c r="G339" t="inlineStr">
        <is>
          <t>Fechada</t>
        </is>
      </c>
      <c r="H339" s="5" t="n">
        <v>46266.39397116045</v>
      </c>
      <c r="I33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39">
        <f>IF(AND(Ocorrencias[[#This Row],[Status]]&lt;&gt;"Fechada",TODAY()&gt;Ocorrencias[[#This Row],[Prazo]]),"SIM","")</f>
        <v/>
      </c>
      <c r="K339">
        <f>IFERROR(VLOOKUP(Ocorrencias[[#This Row],[Local]],Unidades!A:B,2,FALSE),"")</f>
        <v/>
      </c>
      <c r="L339" s="7">
        <f>IF(Ocorrencias[[#This Row],[Status]]="Fechada","",TODAY()-Ocorrencias[[#This Row],[DataAbertura]])</f>
        <v/>
      </c>
    </row>
    <row r="340">
      <c r="A340" t="inlineStr">
        <is>
          <t>OS-3003</t>
        </is>
      </c>
      <c r="B340" t="inlineStr">
        <is>
          <t>Aquecimento no mancal do motor H-38</t>
        </is>
      </c>
      <c r="C340" t="inlineStr">
        <is>
          <t>Mancal do motor H-38 acima da temperatura usual na medição com termômetro infravermelho.</t>
        </is>
      </c>
      <c r="D340" t="inlineStr">
        <is>
          <t>Pátio de Veículos</t>
        </is>
      </c>
      <c r="E340" t="inlineStr">
        <is>
          <t>Média</t>
        </is>
      </c>
      <c r="F340" t="inlineStr">
        <is>
          <t>Eduardo Salles</t>
        </is>
      </c>
      <c r="G340" t="inlineStr">
        <is>
          <t>Em andamento</t>
        </is>
      </c>
      <c r="H340" s="5" t="n">
        <v>46267.17926397715</v>
      </c>
      <c r="I34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40">
        <f>IF(AND(Ocorrencias[[#This Row],[Status]]&lt;&gt;"Fechada",TODAY()&gt;Ocorrencias[[#This Row],[Prazo]]),"SIM","")</f>
        <v/>
      </c>
      <c r="K340">
        <f>IFERROR(VLOOKUP(Ocorrencias[[#This Row],[Local]],Unidades!A:B,2,FALSE),"")</f>
        <v/>
      </c>
      <c r="L340" s="7">
        <f>IF(Ocorrencias[[#This Row],[Status]]="Fechada","",TODAY()-Ocorrencias[[#This Row],[DataAbertura]])</f>
        <v/>
      </c>
    </row>
    <row r="341">
      <c r="A341" t="inlineStr">
        <is>
          <t>OS-3004</t>
        </is>
      </c>
      <c r="B341" t="inlineStr">
        <is>
          <t>Vazamento de óleo no redutor F-35</t>
        </is>
      </c>
      <c r="C341" t="inlineStr">
        <is>
          <t>Gotejamento de óleo no redutor F-35. Nível ainda dentro da faixa.</t>
        </is>
      </c>
      <c r="D341" t="inlineStr">
        <is>
          <t>Subestação Centro</t>
        </is>
      </c>
      <c r="E341" t="inlineStr">
        <is>
          <t>Média</t>
        </is>
      </c>
      <c r="F341" t="inlineStr">
        <is>
          <t>Ingrid Queiroz</t>
        </is>
      </c>
      <c r="G341" t="inlineStr">
        <is>
          <t>Em andamento</t>
        </is>
      </c>
      <c r="H341" s="5" t="n">
        <v>46267.99511234941</v>
      </c>
      <c r="I34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41">
        <f>IF(AND(Ocorrencias[[#This Row],[Status]]&lt;&gt;"Fechada",TODAY()&gt;Ocorrencias[[#This Row],[Prazo]]),"SIM","")</f>
        <v/>
      </c>
      <c r="K341">
        <f>IFERROR(VLOOKUP(Ocorrencias[[#This Row],[Local]],Unidades!A:B,2,FALSE),"")</f>
        <v/>
      </c>
      <c r="L341" s="7">
        <f>IF(Ocorrencias[[#This Row],[Status]]="Fechada","",TODAY()-Ocorrencias[[#This Row],[DataAbertura]])</f>
        <v/>
      </c>
    </row>
    <row r="342">
      <c r="A342" t="inlineStr">
        <is>
          <t>OS-3005</t>
        </is>
      </c>
      <c r="B342" t="inlineStr">
        <is>
          <t>Portão da área A-40 emperrado</t>
        </is>
      </c>
      <c r="C342" t="inlineStr">
        <is>
          <t>Portão de acesso da área A-40 exige força excessiva para abrir.</t>
        </is>
      </c>
      <c r="D342" t="inlineStr">
        <is>
          <t>ETE Vale do Sol</t>
        </is>
      </c>
      <c r="E342" t="inlineStr">
        <is>
          <t>Baixa</t>
        </is>
      </c>
      <c r="F342" t="inlineStr">
        <is>
          <t>Glória Sampaio</t>
        </is>
      </c>
      <c r="G342" t="inlineStr">
        <is>
          <t>Em andamento</t>
        </is>
      </c>
      <c r="H342" s="5" t="n">
        <v>46268.813044055</v>
      </c>
      <c r="I34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42">
        <f>IF(AND(Ocorrencias[[#This Row],[Status]]&lt;&gt;"Fechada",TODAY()&gt;Ocorrencias[[#This Row],[Prazo]]),"SIM","")</f>
        <v/>
      </c>
      <c r="K342">
        <f>IFERROR(VLOOKUP(Ocorrencias[[#This Row],[Local]],Unidades!A:B,2,FALSE),"")</f>
        <v/>
      </c>
      <c r="L342" s="7">
        <f>IF(Ocorrencias[[#This Row],[Status]]="Fechada","",TODAY()-Ocorrencias[[#This Row],[DataAbertura]])</f>
        <v/>
      </c>
    </row>
    <row r="343">
      <c r="A343" t="inlineStr">
        <is>
          <t>OS-3006</t>
        </is>
      </c>
      <c r="B343" t="inlineStr">
        <is>
          <t>Exaustor V-30 parado</t>
        </is>
      </c>
      <c r="C343" t="inlineStr">
        <is>
          <t>Exaustor V-30 não parte. Fusível íntegro.</t>
        </is>
      </c>
      <c r="D343" t="inlineStr">
        <is>
          <t>Estação Elevatória Oeste</t>
        </is>
      </c>
      <c r="E343" t="inlineStr">
        <is>
          <t>Média</t>
        </is>
      </c>
      <c r="G343" t="inlineStr">
        <is>
          <t>Aberta</t>
        </is>
      </c>
      <c r="H343" s="5" t="n">
        <v>46269.56222576059</v>
      </c>
      <c r="I343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43">
        <f>IF(AND(Ocorrencias[[#This Row],[Status]]&lt;&gt;"Fechada",TODAY()&gt;Ocorrencias[[#This Row],[Prazo]]),"SIM","")</f>
        <v/>
      </c>
      <c r="K343">
        <f>IFERROR(VLOOKUP(Ocorrencias[[#This Row],[Local]],Unidades!A:B,2,FALSE),"")</f>
        <v/>
      </c>
      <c r="L343" s="7">
        <f>IF(Ocorrencias[[#This Row],[Status]]="Fechada","",TODAY()-Ocorrencias[[#This Row],[DataAbertura]])</f>
        <v/>
      </c>
    </row>
    <row r="344">
      <c r="A344" t="inlineStr">
        <is>
          <t>OS-3007</t>
        </is>
      </c>
      <c r="B344" t="inlineStr">
        <is>
          <t>Lâmpada queimada na área F-23</t>
        </is>
      </c>
      <c r="C344" t="inlineStr">
        <is>
          <t>Iluminação da área F-23 sem funcionar. Reposição de lâmpada e conferência do reator.</t>
        </is>
      </c>
      <c r="D344" t="inlineStr">
        <is>
          <t>Almoxarifado Central</t>
        </is>
      </c>
      <c r="E344" t="inlineStr">
        <is>
          <t>Crítica</t>
        </is>
      </c>
      <c r="G344" t="inlineStr">
        <is>
          <t>Aberta</t>
        </is>
      </c>
      <c r="H344" s="5" t="n">
        <v>46270.38501857729</v>
      </c>
      <c r="I344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44">
        <f>IF(AND(Ocorrencias[[#This Row],[Status]]&lt;&gt;"Fechada",TODAY()&gt;Ocorrencias[[#This Row],[Prazo]]),"SIM","")</f>
        <v/>
      </c>
      <c r="K344">
        <f>IFERROR(VLOOKUP(Ocorrencias[[#This Row],[Local]],Unidades!A:B,2,FALSE),"")</f>
        <v/>
      </c>
      <c r="L344" s="7">
        <f>IF(Ocorrencias[[#This Row],[Status]]="Fechada","",TODAY()-Ocorrencias[[#This Row],[DataAbertura]])</f>
        <v/>
      </c>
    </row>
    <row r="345">
      <c r="A345" t="inlineStr">
        <is>
          <t>OS-3008</t>
        </is>
      </c>
      <c r="B345" t="inlineStr">
        <is>
          <t>Portão da área M-08 emperrado</t>
        </is>
      </c>
      <c r="C345" t="inlineStr">
        <is>
          <t>Portão de acesso da área M-08 exige força excessiva para abrir.</t>
        </is>
      </c>
      <c r="D345" t="inlineStr">
        <is>
          <t>Adutora Tronco Sul</t>
        </is>
      </c>
      <c r="E345" t="inlineStr">
        <is>
          <t>Baixa</t>
        </is>
      </c>
      <c r="G345" t="inlineStr">
        <is>
          <t>Aberta</t>
        </is>
      </c>
      <c r="H345" s="5" t="n"/>
      <c r="I345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45">
        <f>IF(AND(Ocorrencias[[#This Row],[Status]]&lt;&gt;"Fechada",TODAY()&gt;Ocorrencias[[#This Row],[Prazo]]),"SIM","")</f>
        <v/>
      </c>
      <c r="K345">
        <f>IFERROR(VLOOKUP(Ocorrencias[[#This Row],[Local]],Unidades!A:B,2,FALSE),"")</f>
        <v/>
      </c>
      <c r="L345" s="7">
        <f>IF(Ocorrencias[[#This Row],[Status]]="Fechada","",TODAY()-Ocorrencias[[#This Row],[DataAbertura]])</f>
        <v/>
      </c>
    </row>
    <row r="346">
      <c r="A346" t="inlineStr">
        <is>
          <t>OS-3009</t>
        </is>
      </c>
      <c r="B346" t="inlineStr">
        <is>
          <t>Vazamento na bomba M-36</t>
        </is>
      </c>
      <c r="C346" t="inlineStr">
        <is>
          <t>Vazamento pelo selo mecânico da bomba M-36. Piso molhado ao redor da base.</t>
        </is>
      </c>
      <c r="D346" t="inlineStr">
        <is>
          <t>Base Operacional Norte</t>
        </is>
      </c>
      <c r="E346" t="inlineStr">
        <is>
          <t>Alta</t>
        </is>
      </c>
      <c r="G346" t="inlineStr">
        <is>
          <t>Aberta</t>
        </is>
      </c>
      <c r="H346" s="5" t="n">
        <v>46271.94796532181</v>
      </c>
      <c r="I346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46">
        <f>IF(AND(Ocorrencias[[#This Row],[Status]]&lt;&gt;"Fechada",TODAY()&gt;Ocorrencias[[#This Row],[Prazo]]),"SIM","")</f>
        <v/>
      </c>
      <c r="K346">
        <f>IFERROR(VLOOKUP(Ocorrencias[[#This Row],[Local]],Unidades!A:B,2,FALSE),"")</f>
        <v/>
      </c>
      <c r="L346" s="7">
        <f>IF(Ocorrencias[[#This Row],[Status]]="Fechada","",TODAY()-Ocorrencias[[#This Row],[DataAbertura]])</f>
        <v/>
      </c>
    </row>
    <row r="347">
      <c r="A347" t="inlineStr">
        <is>
          <t>OS-3010</t>
        </is>
      </c>
      <c r="B347" t="inlineStr">
        <is>
          <t>Falha de comunicação no CLP A-20</t>
        </is>
      </c>
      <c r="C347" t="inlineStr">
        <is>
          <t>CLP A-20 perde comunicação com o supervisório em intervalos irregulares.</t>
        </is>
      </c>
      <c r="D347" t="inlineStr">
        <is>
          <t>Base Operacional Norte</t>
        </is>
      </c>
      <c r="E347" t="inlineStr">
        <is>
          <t>Alta</t>
        </is>
      </c>
      <c r="G347" t="inlineStr">
        <is>
          <t>Aberta</t>
        </is>
      </c>
      <c r="H347" s="5" t="n">
        <v>46272.75339702739</v>
      </c>
      <c r="I347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47">
        <f>IF(AND(Ocorrencias[[#This Row],[Status]]&lt;&gt;"Fechada",TODAY()&gt;Ocorrencias[[#This Row],[Prazo]]),"SIM","")</f>
        <v/>
      </c>
      <c r="K347">
        <f>IFERROR(VLOOKUP(Ocorrencias[[#This Row],[Local]],Unidades!A:B,2,FALSE),"")</f>
        <v/>
      </c>
      <c r="L347" s="7">
        <f>IF(Ocorrencias[[#This Row],[Status]]="Fechada","",TODAY()-Ocorrencias[[#This Row],[DataAbertura]])</f>
        <v/>
      </c>
    </row>
    <row r="348">
      <c r="A348" t="inlineStr">
        <is>
          <t>OS-3011</t>
        </is>
      </c>
      <c r="B348" t="inlineStr">
        <is>
          <t>Portão da área F-01 emperrado</t>
        </is>
      </c>
      <c r="C348" t="inlineStr">
        <is>
          <t>Portão de acesso da área F-01 exige força excessiva para abrir.</t>
        </is>
      </c>
      <c r="D348" t="inlineStr">
        <is>
          <t>Estação Elevatória Leste</t>
        </is>
      </c>
      <c r="E348" t="inlineStr">
        <is>
          <t>Baixa</t>
        </is>
      </c>
      <c r="G348" t="inlineStr">
        <is>
          <t>Aberta</t>
        </is>
      </c>
      <c r="H348" s="5" t="n">
        <v>46273.55605095521</v>
      </c>
      <c r="I348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48">
        <f>IF(AND(Ocorrencias[[#This Row],[Status]]&lt;&gt;"Fechada",TODAY()&gt;Ocorrencias[[#This Row],[Prazo]]),"SIM","")</f>
        <v/>
      </c>
      <c r="K348">
        <f>IFERROR(VLOOKUP(Ocorrencias[[#This Row],[Local]],Unidades!A:B,2,FALSE),"")</f>
        <v/>
      </c>
      <c r="L348" s="7">
        <f>IF(Ocorrencias[[#This Row],[Status]]="Fechada","",TODAY()-Ocorrencias[[#This Row],[DataAbertura]])</f>
        <v/>
      </c>
    </row>
    <row r="349">
      <c r="A349" t="inlineStr">
        <is>
          <t>OS-3012</t>
        </is>
      </c>
      <c r="B349" t="inlineStr">
        <is>
          <t>Exaustor H-03 parado</t>
        </is>
      </c>
      <c r="C349" t="inlineStr">
        <is>
          <t>Exaustor H-03 não parte. Fusível íntegro.</t>
        </is>
      </c>
      <c r="D349" t="inlineStr">
        <is>
          <t>Booster Morada do Sol</t>
        </is>
      </c>
      <c r="E349" t="inlineStr">
        <is>
          <t>Crítica</t>
        </is>
      </c>
      <c r="G349" t="inlineStr">
        <is>
          <t>Aberta</t>
        </is>
      </c>
      <c r="H349" s="5" t="n">
        <v>46274.36078821636</v>
      </c>
      <c r="I349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49">
        <f>IF(AND(Ocorrencias[[#This Row],[Status]]&lt;&gt;"Fechada",TODAY()&gt;Ocorrencias[[#This Row],[Prazo]]),"SIM","")</f>
        <v/>
      </c>
      <c r="K349">
        <f>IFERROR(VLOOKUP(Ocorrencias[[#This Row],[Local]],Unidades!A:B,2,FALSE),"")</f>
        <v/>
      </c>
      <c r="L349" s="7">
        <f>IF(Ocorrencias[[#This Row],[Status]]="Fechada","",TODAY()-Ocorrencias[[#This Row],[DataAbertura]])</f>
        <v/>
      </c>
    </row>
    <row r="350">
      <c r="A350" t="inlineStr">
        <is>
          <t>OS-3013</t>
        </is>
      </c>
      <c r="B350" t="inlineStr">
        <is>
          <t>Vazamento de óleo no redutor G-14</t>
        </is>
      </c>
      <c r="C350" t="inlineStr">
        <is>
          <t>Gotejamento de óleo no redutor G-14. Nível ainda dentro da faixa.</t>
        </is>
      </c>
      <c r="D350" t="inlineStr">
        <is>
          <t>Centro de Operações</t>
        </is>
      </c>
      <c r="E350" t="inlineStr">
        <is>
          <t>Média</t>
        </is>
      </c>
      <c r="F350" t="inlineStr">
        <is>
          <t>Caio Rangel</t>
        </is>
      </c>
      <c r="G350" t="inlineStr">
        <is>
          <t>Em andamento</t>
        </is>
      </c>
      <c r="H350" s="5" t="n">
        <v>46275.13635881084</v>
      </c>
      <c r="I350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50">
        <f>IF(AND(Ocorrencias[[#This Row],[Status]]&lt;&gt;"Fechada",TODAY()&gt;Ocorrencias[[#This Row],[Prazo]]),"SIM","")</f>
        <v/>
      </c>
      <c r="K350">
        <f>IFERROR(VLOOKUP(Ocorrencias[[#This Row],[Local]],Unidades!A:B,2,FALSE),"")</f>
        <v/>
      </c>
      <c r="L350" s="7">
        <f>IF(Ocorrencias[[#This Row],[Status]]="Fechada","",TODAY()-Ocorrencias[[#This Row],[DataAbertura]])</f>
        <v/>
      </c>
    </row>
    <row r="351">
      <c r="A351" t="inlineStr">
        <is>
          <t>OS-3014</t>
        </is>
      </c>
      <c r="B351" t="inlineStr">
        <is>
          <t>Medidor de vazão M-04 com leitura instável</t>
        </is>
      </c>
      <c r="C351" t="inlineStr">
        <is>
          <t>Medidor de vazão M-04 oscila sem variação de processo.</t>
        </is>
      </c>
      <c r="D351" t="inlineStr">
        <is>
          <t>Estação de Bombeamento Vila Nova</t>
        </is>
      </c>
      <c r="E351" t="inlineStr">
        <is>
          <t>Média</t>
        </is>
      </c>
      <c r="G351" t="inlineStr">
        <is>
          <t>Fechada</t>
        </is>
      </c>
      <c r="H351" s="5" t="n">
        <v>46275.95012384975</v>
      </c>
      <c r="I351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51">
        <f>IF(AND(Ocorrencias[[#This Row],[Status]]&lt;&gt;"Fechada",TODAY()&gt;Ocorrencias[[#This Row],[Prazo]]),"SIM","")</f>
        <v/>
      </c>
      <c r="K351">
        <f>IFERROR(VLOOKUP(Ocorrencias[[#This Row],[Local]],Unidades!A:B,2,FALSE),"")</f>
        <v/>
      </c>
      <c r="L351" s="7">
        <f>IF(Ocorrencias[[#This Row],[Status]]="Fechada","",TODAY()-Ocorrencias[[#This Row],[DataAbertura]])</f>
        <v/>
      </c>
    </row>
    <row r="352">
      <c r="A352" t="inlineStr">
        <is>
          <t>OS-3015</t>
        </is>
      </c>
      <c r="B352" t="inlineStr">
        <is>
          <t>Aquecimento no mancal do motor V-16</t>
        </is>
      </c>
      <c r="C352" t="inlineStr">
        <is>
          <t>Mancal do motor V-16 acima da temperatura usual na medição com termômetro infravermelho.</t>
        </is>
      </c>
      <c r="D352" t="inlineStr">
        <is>
          <t>Subestação Sul</t>
        </is>
      </c>
      <c r="E352" t="inlineStr">
        <is>
          <t>Média</t>
        </is>
      </c>
      <c r="F352" t="inlineStr">
        <is>
          <t>Hugo Albuquerque</t>
        </is>
      </c>
      <c r="G352" t="inlineStr">
        <is>
          <t>Em andamento</t>
        </is>
      </c>
      <c r="H352" s="5" t="n">
        <v>46276.71041666646</v>
      </c>
      <c r="I352" s="6">
        <f>IF(Ocorrencias[[#This Row],[Prioridade]]="Crítica",Ocorrencias[[#This Row],[DataAbertura]]+1,IF(Ocorrencias[[#This Row],[Prioridade]]="Alta",Ocorrencias[[#This Row],[DataAbertura]]+3,Ocorrencias[[#This Row],[DataAbertura]]+10))</f>
        <v/>
      </c>
      <c r="J352">
        <f>IF(AND(Ocorrencias[[#This Row],[Status]]&lt;&gt;"Fechada",TODAY()&gt;Ocorrencias[[#This Row],[Prazo]]),"SIM","")</f>
        <v/>
      </c>
      <c r="K352">
        <f>IFERROR(VLOOKUP(Ocorrencias[[#This Row],[Local]],Unidades!A:B,2,FALSE),"")</f>
        <v/>
      </c>
      <c r="L352" s="7">
        <f>IF(Ocorrencias[[#This Row],[Status]]="Fechada","",TODAY()-Ocorrencias[[#This Row],[DataAbertura]])</f>
        <v/>
      </c>
    </row>
  </sheetData>
  <dataValidations count="2">
    <dataValidation sqref="G2:G852" showDropDown="0" showInputMessage="0" showErrorMessage="0" allowBlank="1" type="list">
      <formula1>=Listas!$A$2:$A$4</formula1>
    </dataValidation>
    <dataValidation sqref="E2:E852" showDropDown="0" showInputMessage="0" showErrorMessage="0" allowBlank="1" type="list">
      <formula1>=Listas!$B$2:$B$5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zoomScale="100" workbookViewId="0">
      <selection activeCell="A1" sqref="A1"/>
    </sheetView>
  </sheetViews>
  <sheetFormatPr baseColWidth="8" defaultRowHeight="15"/>
  <cols>
    <col width="38" customWidth="1" min="1" max="1"/>
    <col width="24" customWidth="1" min="2" max="2"/>
  </cols>
  <sheetData>
    <row r="1">
      <c r="A1" s="8" t="inlineStr">
        <is>
          <t>PAINEL DE OCORRÊNCIAS</t>
        </is>
      </c>
      <c r="B1">
        <f>"Atualizado em "&amp;TEXT(DAY(TODAY()),"00")&amp;"/"&amp;TEXT(MONTH(TODAY()),"00")&amp;"/"&amp;YEAR(TODAY())</f>
        <v/>
      </c>
    </row>
    <row r="3">
      <c r="A3" s="9" t="inlineStr">
        <is>
          <t>Abertas</t>
        </is>
      </c>
      <c r="B3">
        <f>COUNTIF(Ocorrencias[Status],"Aberta")</f>
        <v/>
      </c>
    </row>
    <row r="4">
      <c r="A4" s="9" t="inlineStr">
        <is>
          <t>Em andamento</t>
        </is>
      </c>
      <c r="B4">
        <f>COUNTIF(Ocorrencias[Status],"Em andamento")</f>
        <v/>
      </c>
    </row>
    <row r="5">
      <c r="A5" s="9" t="inlineStr">
        <is>
          <t>Fechadas</t>
        </is>
      </c>
      <c r="B5">
        <f>COUNTIF(Ocorrencias[Status],"Fechada")</f>
        <v/>
      </c>
    </row>
    <row r="7">
      <c r="A7" s="9" t="inlineStr">
        <is>
          <t>Críticas em aberto</t>
        </is>
      </c>
      <c r="B7">
        <f>COUNTIFS(Ocorrencias!G2:G300,"Aberta",Ocorrencias!E2:E300,"Crítica")</f>
        <v/>
      </c>
    </row>
    <row r="8">
      <c r="A8" s="9" t="inlineStr">
        <is>
          <t>Atrasadas</t>
        </is>
      </c>
      <c r="B8">
        <f>COUNTIF(Ocorrencias[Atrasada],"SIM")</f>
        <v/>
      </c>
    </row>
    <row r="9">
      <c r="A9" s="9" t="inlineStr">
        <is>
          <t>Percentual de atraso</t>
        </is>
      </c>
      <c r="B9" s="10">
        <f>IFERROR(B8/(B3+B4),0)</f>
        <v/>
      </c>
    </row>
    <row r="11">
      <c r="A11" s="9" t="inlineStr">
        <is>
          <t>Abertas por unidade</t>
        </is>
      </c>
    </row>
    <row r="12">
      <c r="A12" t="inlineStr">
        <is>
          <t>Subestação Norte</t>
        </is>
      </c>
      <c r="B12">
        <f>COUNTIFS(Ocorrencias[Local],A12,Ocorrencias[Status],"Aberta")</f>
        <v/>
      </c>
    </row>
    <row r="13">
      <c r="A13" t="inlineStr">
        <is>
          <t>Subestação Sul</t>
        </is>
      </c>
      <c r="B13">
        <f>COUNTIFS(Ocorrencias[Local],A13,Ocorrencias[Status],"Aberta")</f>
        <v/>
      </c>
    </row>
    <row r="14">
      <c r="A14" t="inlineStr">
        <is>
          <t>Subestação Leste</t>
        </is>
      </c>
      <c r="B14">
        <f>COUNTIFS(Ocorrencias[Local],A14,Ocorrencias[Status],"Aberta")</f>
        <v/>
      </c>
    </row>
    <row r="15">
      <c r="A15" t="inlineStr">
        <is>
          <t>Subestação Oeste</t>
        </is>
      </c>
      <c r="B15">
        <f>COUNTIFS(Ocorrencias[Local],A15,Ocorrencias[Status],"Aberta")</f>
        <v/>
      </c>
    </row>
    <row r="16">
      <c r="A16" t="inlineStr">
        <is>
          <t>Subestação Centro</t>
        </is>
      </c>
      <c r="B16">
        <f>COUNTIFS(Ocorrencias[Local],A16,Ocorrencias[Status],"Aberta")</f>
        <v/>
      </c>
    </row>
    <row r="17">
      <c r="A17" t="inlineStr">
        <is>
          <t>ETA Central</t>
        </is>
      </c>
      <c r="B17">
        <f>COUNTIFS(Ocorrencias[Local],A17,Ocorrencias[Status],"Aberta")</f>
        <v/>
      </c>
    </row>
    <row r="18">
      <c r="A18" t="inlineStr">
        <is>
          <t>ETA Serra Azul</t>
        </is>
      </c>
      <c r="B18">
        <f>COUNTIFS(Ocorrencias[Local],A18,Ocorrencias[Status],"Aberta")</f>
        <v/>
      </c>
    </row>
    <row r="19">
      <c r="A19" t="inlineStr">
        <is>
          <t>ETA Ribeirão Fundo</t>
        </is>
      </c>
      <c r="B19">
        <f>COUNTIFS(Ocorrencias[Local],A19,Ocorrencias[Status],"Aberta")</f>
        <v/>
      </c>
    </row>
    <row r="20">
      <c r="A20" t="inlineStr">
        <is>
          <t>ETE Vale do Sol</t>
        </is>
      </c>
      <c r="B20">
        <f>COUNTIFS(Ocorrencias[Local],A20,Ocorrencias[Status],"Aberta")</f>
        <v/>
      </c>
    </row>
    <row r="21">
      <c r="A21" t="inlineStr">
        <is>
          <t>ETE Rio Claro</t>
        </is>
      </c>
      <c r="B21">
        <f>COUNTIFS(Ocorrencias[Local],A21,Ocorrencias[Status],"Aberta")</f>
        <v/>
      </c>
    </row>
    <row r="22">
      <c r="A22" t="inlineStr">
        <is>
          <t>ETE Jardim Bela Vista</t>
        </is>
      </c>
      <c r="B22">
        <f>COUNTIFS(Ocorrencias[Local],A22,Ocorrencias[Status],"Aberta")</f>
        <v/>
      </c>
    </row>
    <row r="23">
      <c r="A23" t="inlineStr">
        <is>
          <t>Estação Elevatória Leste</t>
        </is>
      </c>
      <c r="B23">
        <f>COUNTIFS(Ocorrencias[Local],A23,Ocorrencias[Status],"Aberta")</f>
        <v/>
      </c>
    </row>
    <row r="24">
      <c r="A24" t="inlineStr">
        <is>
          <t>Estação Elevatória Oeste</t>
        </is>
      </c>
      <c r="B24">
        <f>COUNTIFS(Ocorrencias[Local],A24,Ocorrencias[Status],"Aberta")</f>
        <v/>
      </c>
    </row>
    <row r="25">
      <c r="A25" t="inlineStr">
        <is>
          <t>Estação Elevatória Porto</t>
        </is>
      </c>
      <c r="B25">
        <f>COUNTIFS(Ocorrencias[Local],A25,Ocorrencias[Status],"Aberta")</f>
        <v/>
      </c>
    </row>
    <row r="26">
      <c r="A26" t="inlineStr">
        <is>
          <t>Reservatório Alto da Colina</t>
        </is>
      </c>
      <c r="B26">
        <f>COUNTIFS(Ocorrencias[Local],A26,Ocorrencias[Status],"Aberta")</f>
        <v/>
      </c>
    </row>
    <row r="27">
      <c r="A27" t="inlineStr">
        <is>
          <t>Reservatório Santa Luzia</t>
        </is>
      </c>
      <c r="B27">
        <f>COUNTIFS(Ocorrencias[Local],A27,Ocorrencias[Status],"Aberta")</f>
        <v/>
      </c>
    </row>
    <row r="28">
      <c r="A28" t="inlineStr">
        <is>
          <t>Reservatório Industrial</t>
        </is>
      </c>
      <c r="B28">
        <f>COUNTIFS(Ocorrencias[Local],A28,Ocorrencias[Status],"Aberta")</f>
        <v/>
      </c>
    </row>
    <row r="29">
      <c r="A29" t="inlineStr">
        <is>
          <t>Captação Rio Verde</t>
        </is>
      </c>
      <c r="B29">
        <f>COUNTIFS(Ocorrencias[Local],A29,Ocorrencias[Status],"Aberta")</f>
        <v/>
      </c>
    </row>
    <row r="30">
      <c r="A30" t="inlineStr">
        <is>
          <t>Captação Lagoa Seca</t>
        </is>
      </c>
      <c r="B30">
        <f>COUNTIFS(Ocorrencias[Local],A30,Ocorrencias[Status],"Aberta")</f>
        <v/>
      </c>
    </row>
    <row r="31">
      <c r="A31" t="inlineStr">
        <is>
          <t>Adutora Tronco Norte</t>
        </is>
      </c>
      <c r="B31">
        <f>COUNTIFS(Ocorrencias[Local],A31,Ocorrencias[Status],"Aberta")</f>
        <v/>
      </c>
    </row>
    <row r="32">
      <c r="A32" t="inlineStr">
        <is>
          <t>Adutora Tronco Sul</t>
        </is>
      </c>
      <c r="B32">
        <f>COUNTIFS(Ocorrencias[Local],A32,Ocorrencias[Status],"Aberta")</f>
        <v/>
      </c>
    </row>
    <row r="33">
      <c r="A33" t="inlineStr">
        <is>
          <t>Oficina Mecânica Central</t>
        </is>
      </c>
      <c r="B33">
        <f>COUNTIFS(Ocorrencias[Local],A33,Ocorrencias[Status],"Aberta")</f>
        <v/>
      </c>
    </row>
    <row r="34">
      <c r="A34" t="inlineStr">
        <is>
          <t>Oficina Elétrica Central</t>
        </is>
      </c>
      <c r="B34">
        <f>COUNTIFS(Ocorrencias[Local],A34,Ocorrencias[Status],"Aberta")</f>
        <v/>
      </c>
    </row>
    <row r="35">
      <c r="A35" t="inlineStr">
        <is>
          <t>Almoxarifado Central</t>
        </is>
      </c>
      <c r="B35">
        <f>COUNTIFS(Ocorrencias[Local],A35,Ocorrencias[Status],"Aberta")</f>
        <v/>
      </c>
    </row>
    <row r="36">
      <c r="A36" t="inlineStr">
        <is>
          <t>Laboratório de Controle</t>
        </is>
      </c>
      <c r="B36">
        <f>COUNTIFS(Ocorrencias[Local],A36,Ocorrencias[Status],"Aberta")</f>
        <v/>
      </c>
    </row>
    <row r="37">
      <c r="A37" t="inlineStr">
        <is>
          <t>Sede Administrativa</t>
        </is>
      </c>
      <c r="B37">
        <f>COUNTIFS(Ocorrencias[Local],A37,Ocorrencias[Status],"Aberta")</f>
        <v/>
      </c>
    </row>
    <row r="38">
      <c r="A38" t="inlineStr">
        <is>
          <t>Centro de Operações</t>
        </is>
      </c>
      <c r="B38">
        <f>COUNTIFS(Ocorrencias[Local],A38,Ocorrencias[Status],"Aberta")</f>
        <v/>
      </c>
    </row>
    <row r="39">
      <c r="A39" t="inlineStr">
        <is>
          <t>Usina Fotovoltaica Cerrado</t>
        </is>
      </c>
      <c r="B39">
        <f>COUNTIFS(Ocorrencias[Local],A39,Ocorrencias[Status],"Aberta")</f>
        <v/>
      </c>
    </row>
    <row r="40">
      <c r="A40" t="inlineStr">
        <is>
          <t>Usina Fotovoltaica Planalto</t>
        </is>
      </c>
      <c r="B40">
        <f>COUNTIFS(Ocorrencias[Local],A40,Ocorrencias[Status],"Aberta")</f>
        <v/>
      </c>
    </row>
    <row r="41">
      <c r="A41" t="inlineStr">
        <is>
          <t>Pátio de Veículos</t>
        </is>
      </c>
      <c r="B41">
        <f>COUNTIFS(Ocorrencias[Local],A41,Ocorrencias[Status],"Aberta")</f>
        <v/>
      </c>
    </row>
    <row r="42">
      <c r="A42" t="inlineStr">
        <is>
          <t>Base Operacional Norte</t>
        </is>
      </c>
      <c r="B42">
        <f>COUNTIFS(Ocorrencias[Local],A42,Ocorrencias[Status],"Aberta")</f>
        <v/>
      </c>
    </row>
    <row r="43">
      <c r="A43" t="inlineStr">
        <is>
          <t>Base Operacional Sul</t>
        </is>
      </c>
      <c r="B43">
        <f>COUNTIFS(Ocorrencias[Local],A43,Ocorrencias[Status],"Aberta")</f>
        <v/>
      </c>
    </row>
    <row r="44">
      <c r="A44" t="inlineStr">
        <is>
          <t>Base Operacional Litoral</t>
        </is>
      </c>
      <c r="B44">
        <f>COUNTIFS(Ocorrencias[Local],A44,Ocorrencias[Status],"Aberta")</f>
        <v/>
      </c>
    </row>
    <row r="45">
      <c r="A45" t="inlineStr">
        <is>
          <t>Base Operacional Serra</t>
        </is>
      </c>
      <c r="B45">
        <f>COUNTIFS(Ocorrencias[Local],A45,Ocorrencias[Status],"Aberta")</f>
        <v/>
      </c>
    </row>
    <row r="46">
      <c r="A46" t="inlineStr">
        <is>
          <t>Galpão de Materiais</t>
        </is>
      </c>
      <c r="B46">
        <f>COUNTIFS(Ocorrencias[Local],A46,Ocorrencias[Status],"Aberta")</f>
        <v/>
      </c>
    </row>
    <row r="47">
      <c r="A47" t="inlineStr">
        <is>
          <t>Estação de Bombeamento Vila Nova</t>
        </is>
      </c>
      <c r="B47">
        <f>COUNTIFS(Ocorrencias[Local],A47,Ocorrencias[Status],"Aberta")</f>
        <v/>
      </c>
    </row>
    <row r="48">
      <c r="A48" t="inlineStr">
        <is>
          <t>Estação de Bombeamento Três Pontes</t>
        </is>
      </c>
      <c r="B48">
        <f>COUNTIFS(Ocorrencias[Local],A48,Ocorrencias[Status],"Aberta")</f>
        <v/>
      </c>
    </row>
    <row r="49">
      <c r="A49" t="inlineStr">
        <is>
          <t>Booster Morada do Sol</t>
        </is>
      </c>
      <c r="B49">
        <f>COUNTIFS(Ocorrencias[Local],A49,Ocorrencias[Status],"Aberta")</f>
        <v/>
      </c>
    </row>
    <row r="50">
      <c r="A50" t="inlineStr">
        <is>
          <t>Booster Parque das Águas</t>
        </is>
      </c>
      <c r="B50">
        <f>COUNTIFS(Ocorrencias[Local],A50,Ocorrencias[Status],"Aberta")</f>
        <v/>
      </c>
    </row>
    <row r="51">
      <c r="A51" t="inlineStr">
        <is>
          <t>Torre de Telecomunicação Morro Alto</t>
        </is>
      </c>
      <c r="B51">
        <f>COUNTIFS(Ocorrencias[Local],A51,Ocorrencias[Status],"Aberta")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zoomScale="100" workbookViewId="0">
      <selection activeCell="A1" sqref="A1"/>
    </sheetView>
  </sheetViews>
  <sheetFormatPr baseColWidth="8" defaultRowHeight="15"/>
  <cols>
    <col width="38" customWidth="1" min="1" max="1"/>
    <col width="26" customWidth="1" min="2" max="2"/>
  </cols>
  <sheetData>
    <row r="1">
      <c r="A1" t="inlineStr">
        <is>
          <t>Nome</t>
        </is>
      </c>
      <c r="B1" t="inlineStr">
        <is>
          <t>Supervisor</t>
        </is>
      </c>
    </row>
    <row r="2">
      <c r="A2" t="inlineStr">
        <is>
          <t>Subestação Norte</t>
        </is>
      </c>
      <c r="B2" t="inlineStr">
        <is>
          <t>Adriana Campos</t>
        </is>
      </c>
    </row>
    <row r="3">
      <c r="A3" t="inlineStr">
        <is>
          <t>Subestação Sul</t>
        </is>
      </c>
      <c r="B3" t="inlineStr">
        <is>
          <t>Adriana Campos</t>
        </is>
      </c>
    </row>
    <row r="4">
      <c r="A4" t="inlineStr">
        <is>
          <t>Subestação Leste</t>
        </is>
      </c>
      <c r="B4" t="inlineStr">
        <is>
          <t>Bruno Teixeira</t>
        </is>
      </c>
    </row>
    <row r="5">
      <c r="A5" t="inlineStr">
        <is>
          <t>Subestação Oeste</t>
        </is>
      </c>
      <c r="B5" t="inlineStr">
        <is>
          <t>Bruno Teixeira</t>
        </is>
      </c>
    </row>
    <row r="6">
      <c r="A6" t="inlineStr">
        <is>
          <t>Subestação Centro</t>
        </is>
      </c>
      <c r="B6" t="inlineStr">
        <is>
          <t>Carla Menezes</t>
        </is>
      </c>
    </row>
    <row r="7">
      <c r="A7" t="inlineStr">
        <is>
          <t>ETA Central</t>
        </is>
      </c>
      <c r="B7" t="inlineStr">
        <is>
          <t>Carla Menezes</t>
        </is>
      </c>
    </row>
    <row r="8">
      <c r="A8" t="inlineStr">
        <is>
          <t>ETA Serra Azul</t>
        </is>
      </c>
      <c r="B8" t="inlineStr">
        <is>
          <t>Diego Fontana</t>
        </is>
      </c>
    </row>
    <row r="9">
      <c r="A9" t="inlineStr">
        <is>
          <t>ETA Ribeirão Fundo</t>
        </is>
      </c>
      <c r="B9" t="inlineStr">
        <is>
          <t>Diego Fontana</t>
        </is>
      </c>
    </row>
    <row r="10">
      <c r="A10" t="inlineStr">
        <is>
          <t>ETE Vale do Sol</t>
        </is>
      </c>
      <c r="B10" t="inlineStr">
        <is>
          <t>Elaine Prado</t>
        </is>
      </c>
    </row>
    <row r="11">
      <c r="A11" t="inlineStr">
        <is>
          <t>ETE Rio Claro</t>
        </is>
      </c>
      <c r="B11" t="inlineStr">
        <is>
          <t>Elaine Prado</t>
        </is>
      </c>
    </row>
    <row r="12">
      <c r="A12" t="inlineStr">
        <is>
          <t>ETE Jardim Bela Vista</t>
        </is>
      </c>
      <c r="B12" t="inlineStr">
        <is>
          <t>Fábio Rezende</t>
        </is>
      </c>
    </row>
    <row r="13">
      <c r="A13" t="inlineStr">
        <is>
          <t>Estação Elevatória Leste</t>
        </is>
      </c>
      <c r="B13" t="inlineStr">
        <is>
          <t>Fábio Rezende</t>
        </is>
      </c>
    </row>
    <row r="14">
      <c r="A14" t="inlineStr">
        <is>
          <t>Estação Elevatória Oeste</t>
        </is>
      </c>
      <c r="B14" t="inlineStr">
        <is>
          <t>Gisele Arantes</t>
        </is>
      </c>
    </row>
    <row r="15">
      <c r="A15" t="inlineStr">
        <is>
          <t>Estação Elevatória Porto</t>
        </is>
      </c>
      <c r="B15" t="inlineStr">
        <is>
          <t>Gisele Arantes</t>
        </is>
      </c>
    </row>
    <row r="16">
      <c r="A16" t="inlineStr">
        <is>
          <t>Reservatório Alto da Colina</t>
        </is>
      </c>
      <c r="B16" t="inlineStr">
        <is>
          <t>Henrique Vasconcelos</t>
        </is>
      </c>
    </row>
    <row r="17">
      <c r="A17" t="inlineStr">
        <is>
          <t>Reservatório Santa Luzia</t>
        </is>
      </c>
      <c r="B17" t="inlineStr">
        <is>
          <t>Henrique Vasconcelos</t>
        </is>
      </c>
    </row>
    <row r="18">
      <c r="A18" t="inlineStr">
        <is>
          <t>Reservatório Industrial</t>
        </is>
      </c>
      <c r="B18" t="inlineStr">
        <is>
          <t>Isabela Moura</t>
        </is>
      </c>
    </row>
    <row r="19">
      <c r="A19" t="inlineStr">
        <is>
          <t>Captação Rio Verde</t>
        </is>
      </c>
      <c r="B19" t="inlineStr">
        <is>
          <t>Isabela Moura</t>
        </is>
      </c>
    </row>
    <row r="20">
      <c r="A20" t="inlineStr">
        <is>
          <t>Captação Lagoa Seca</t>
        </is>
      </c>
      <c r="B20" t="inlineStr">
        <is>
          <t>João Batista Lemos</t>
        </is>
      </c>
    </row>
    <row r="21">
      <c r="A21" t="inlineStr">
        <is>
          <t>Adutora Tronco Norte</t>
        </is>
      </c>
      <c r="B21" t="inlineStr">
        <is>
          <t>João Batista Lemos</t>
        </is>
      </c>
    </row>
    <row r="22">
      <c r="A22" t="inlineStr">
        <is>
          <t>Adutora Tronco Sul</t>
        </is>
      </c>
      <c r="B22" t="inlineStr">
        <is>
          <t>Karina Duarte</t>
        </is>
      </c>
    </row>
    <row r="23">
      <c r="A23" t="inlineStr">
        <is>
          <t>Oficina Mecânica Central</t>
        </is>
      </c>
      <c r="B23" t="inlineStr">
        <is>
          <t>Karina Duarte</t>
        </is>
      </c>
    </row>
    <row r="24">
      <c r="A24" t="inlineStr">
        <is>
          <t>Oficina Elétrica Central</t>
        </is>
      </c>
      <c r="B24" t="inlineStr">
        <is>
          <t>Leandro Siqueira</t>
        </is>
      </c>
    </row>
    <row r="25">
      <c r="A25" t="inlineStr">
        <is>
          <t>Almoxarifado Central</t>
        </is>
      </c>
      <c r="B25" t="inlineStr">
        <is>
          <t>Leandro Siqueira</t>
        </is>
      </c>
    </row>
    <row r="26">
      <c r="A26" t="inlineStr">
        <is>
          <t>Laboratório de Controle</t>
        </is>
      </c>
      <c r="B26" t="inlineStr">
        <is>
          <t>Márcia Toledo</t>
        </is>
      </c>
    </row>
    <row r="27">
      <c r="A27" t="inlineStr">
        <is>
          <t>Sede Administrativa</t>
        </is>
      </c>
      <c r="B27" t="inlineStr">
        <is>
          <t>Márcia Toledo</t>
        </is>
      </c>
    </row>
    <row r="28">
      <c r="A28" t="inlineStr">
        <is>
          <t>Centro de Operações</t>
        </is>
      </c>
      <c r="B28" t="inlineStr">
        <is>
          <t>Nelson Brandão</t>
        </is>
      </c>
    </row>
    <row r="29">
      <c r="A29" t="inlineStr">
        <is>
          <t>Usina Fotovoltaica Cerrado</t>
        </is>
      </c>
      <c r="B29" t="inlineStr">
        <is>
          <t>Nelson Brandão</t>
        </is>
      </c>
    </row>
    <row r="30">
      <c r="A30" t="inlineStr">
        <is>
          <t>Usina Fotovoltaica Planalto</t>
        </is>
      </c>
      <c r="B30" t="inlineStr">
        <is>
          <t>Olívia Castro</t>
        </is>
      </c>
    </row>
    <row r="31">
      <c r="A31" t="inlineStr">
        <is>
          <t>Pátio de Veículos</t>
        </is>
      </c>
      <c r="B31" t="inlineStr">
        <is>
          <t>Olívia Castro</t>
        </is>
      </c>
    </row>
    <row r="32">
      <c r="A32" t="inlineStr">
        <is>
          <t>Base Operacional Norte</t>
        </is>
      </c>
      <c r="B32" t="inlineStr">
        <is>
          <t>Paulo Henrique Dias</t>
        </is>
      </c>
    </row>
    <row r="33">
      <c r="A33" t="inlineStr">
        <is>
          <t>Base Operacional Sul</t>
        </is>
      </c>
      <c r="B33" t="inlineStr">
        <is>
          <t>Paulo Henrique Dias</t>
        </is>
      </c>
    </row>
    <row r="34">
      <c r="A34" t="inlineStr">
        <is>
          <t>Base Operacional Litoral</t>
        </is>
      </c>
      <c r="B34" t="inlineStr">
        <is>
          <t>Queila Ramos</t>
        </is>
      </c>
    </row>
    <row r="35">
      <c r="A35" t="inlineStr">
        <is>
          <t>Base Operacional Serra</t>
        </is>
      </c>
      <c r="B35" t="inlineStr">
        <is>
          <t>Queila Ramos</t>
        </is>
      </c>
    </row>
    <row r="36">
      <c r="A36" t="inlineStr">
        <is>
          <t>Galpão de Materiais</t>
        </is>
      </c>
      <c r="B36" t="inlineStr">
        <is>
          <t>Renato Ventura</t>
        </is>
      </c>
    </row>
    <row r="37">
      <c r="A37" t="inlineStr">
        <is>
          <t>Estação de Bombeamento Vila Nova</t>
        </is>
      </c>
      <c r="B37" t="inlineStr">
        <is>
          <t>Renato Ventura</t>
        </is>
      </c>
    </row>
    <row r="38">
      <c r="A38" t="inlineStr">
        <is>
          <t>Estação de Bombeamento Três Pontes</t>
        </is>
      </c>
      <c r="B38" t="inlineStr">
        <is>
          <t>Sabrina Lopes</t>
        </is>
      </c>
    </row>
    <row r="39">
      <c r="A39" t="inlineStr">
        <is>
          <t>Booster Morada do Sol</t>
        </is>
      </c>
      <c r="B39" t="inlineStr">
        <is>
          <t>Sabrina Lopes</t>
        </is>
      </c>
    </row>
    <row r="40">
      <c r="A40" t="inlineStr">
        <is>
          <t>Booster Parque das Águas</t>
        </is>
      </c>
      <c r="B40" t="inlineStr">
        <is>
          <t>Tiago Moreira</t>
        </is>
      </c>
    </row>
    <row r="41">
      <c r="A41" t="inlineStr">
        <is>
          <t>Torre de Telecomunicação Morro Alto</t>
        </is>
      </c>
      <c r="B41" t="inlineStr">
        <is>
          <t>Tiago Moreira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"/>
  <sheetViews>
    <sheetView zoomScale="100"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Nome</t>
        </is>
      </c>
      <c r="B1" t="inlineStr">
        <is>
          <t>Funcao</t>
        </is>
      </c>
      <c r="C1" t="inlineStr">
        <is>
          <t>Area</t>
        </is>
      </c>
    </row>
    <row r="2">
      <c r="A2" t="inlineStr">
        <is>
          <t>Adriana Campos</t>
        </is>
      </c>
      <c r="B2" t="inlineStr">
        <is>
          <t>Supervisor</t>
        </is>
      </c>
      <c r="C2" t="inlineStr">
        <is>
          <t>Operação</t>
        </is>
      </c>
    </row>
    <row r="3">
      <c r="A3" t="inlineStr">
        <is>
          <t>Bruno Teixeira</t>
        </is>
      </c>
      <c r="B3" t="inlineStr">
        <is>
          <t>Supervisor</t>
        </is>
      </c>
      <c r="C3" t="inlineStr">
        <is>
          <t>Operação</t>
        </is>
      </c>
    </row>
    <row r="4">
      <c r="A4" t="inlineStr">
        <is>
          <t>Carla Menezes</t>
        </is>
      </c>
      <c r="B4" t="inlineStr">
        <is>
          <t>Supervisor</t>
        </is>
      </c>
      <c r="C4" t="inlineStr">
        <is>
          <t>Operação</t>
        </is>
      </c>
    </row>
    <row r="5">
      <c r="A5" t="inlineStr">
        <is>
          <t>Diego Fontana</t>
        </is>
      </c>
      <c r="B5" t="inlineStr">
        <is>
          <t>Supervisor</t>
        </is>
      </c>
      <c r="C5" t="inlineStr">
        <is>
          <t>Operação</t>
        </is>
      </c>
    </row>
    <row r="6">
      <c r="A6" t="inlineStr">
        <is>
          <t>Elaine Prado</t>
        </is>
      </c>
      <c r="B6" t="inlineStr">
        <is>
          <t>Supervisor</t>
        </is>
      </c>
      <c r="C6" t="inlineStr">
        <is>
          <t>Operação</t>
        </is>
      </c>
    </row>
    <row r="7">
      <c r="A7" t="inlineStr">
        <is>
          <t>Fábio Rezende</t>
        </is>
      </c>
      <c r="B7" t="inlineStr">
        <is>
          <t>Supervisor</t>
        </is>
      </c>
      <c r="C7" t="inlineStr">
        <is>
          <t>Operação</t>
        </is>
      </c>
    </row>
    <row r="8">
      <c r="A8" t="inlineStr">
        <is>
          <t>Gisele Arantes</t>
        </is>
      </c>
      <c r="B8" t="inlineStr">
        <is>
          <t>Supervisor</t>
        </is>
      </c>
      <c r="C8" t="inlineStr">
        <is>
          <t>Operação</t>
        </is>
      </c>
    </row>
    <row r="9">
      <c r="A9" t="inlineStr">
        <is>
          <t>Henrique Vasconcelos</t>
        </is>
      </c>
      <c r="B9" t="inlineStr">
        <is>
          <t>Supervisor</t>
        </is>
      </c>
      <c r="C9" t="inlineStr">
        <is>
          <t>Operação</t>
        </is>
      </c>
    </row>
    <row r="10">
      <c r="A10" t="inlineStr">
        <is>
          <t>Isabela Moura</t>
        </is>
      </c>
      <c r="B10" t="inlineStr">
        <is>
          <t>Supervisor</t>
        </is>
      </c>
      <c r="C10" t="inlineStr">
        <is>
          <t>Operação</t>
        </is>
      </c>
    </row>
    <row r="11">
      <c r="A11" t="inlineStr">
        <is>
          <t>João Batista Lemos</t>
        </is>
      </c>
      <c r="B11" t="inlineStr">
        <is>
          <t>Supervisor</t>
        </is>
      </c>
      <c r="C11" t="inlineStr">
        <is>
          <t>Operação</t>
        </is>
      </c>
    </row>
    <row r="12">
      <c r="A12" t="inlineStr">
        <is>
          <t>Karina Duarte</t>
        </is>
      </c>
      <c r="B12" t="inlineStr">
        <is>
          <t>Supervisor</t>
        </is>
      </c>
      <c r="C12" t="inlineStr">
        <is>
          <t>Operação</t>
        </is>
      </c>
    </row>
    <row r="13">
      <c r="A13" t="inlineStr">
        <is>
          <t>Leandro Siqueira</t>
        </is>
      </c>
      <c r="B13" t="inlineStr">
        <is>
          <t>Supervisor</t>
        </is>
      </c>
      <c r="C13" t="inlineStr">
        <is>
          <t>Operação</t>
        </is>
      </c>
    </row>
    <row r="14">
      <c r="A14" t="inlineStr">
        <is>
          <t>Márcia Toledo</t>
        </is>
      </c>
      <c r="B14" t="inlineStr">
        <is>
          <t>Supervisor</t>
        </is>
      </c>
      <c r="C14" t="inlineStr">
        <is>
          <t>Operação</t>
        </is>
      </c>
    </row>
    <row r="15">
      <c r="A15" t="inlineStr">
        <is>
          <t>Nelson Brandão</t>
        </is>
      </c>
      <c r="B15" t="inlineStr">
        <is>
          <t>Supervisor</t>
        </is>
      </c>
      <c r="C15" t="inlineStr">
        <is>
          <t>Operação</t>
        </is>
      </c>
    </row>
    <row r="16">
      <c r="A16" t="inlineStr">
        <is>
          <t>Olívia Castro</t>
        </is>
      </c>
      <c r="B16" t="inlineStr">
        <is>
          <t>Supervisor</t>
        </is>
      </c>
      <c r="C16" t="inlineStr">
        <is>
          <t>Operação</t>
        </is>
      </c>
    </row>
    <row r="17">
      <c r="A17" t="inlineStr">
        <is>
          <t>Paulo Henrique Dias</t>
        </is>
      </c>
      <c r="B17" t="inlineStr">
        <is>
          <t>Supervisor</t>
        </is>
      </c>
      <c r="C17" t="inlineStr">
        <is>
          <t>Operação</t>
        </is>
      </c>
    </row>
    <row r="18">
      <c r="A18" t="inlineStr">
        <is>
          <t>Queila Ramos</t>
        </is>
      </c>
      <c r="B18" t="inlineStr">
        <is>
          <t>Supervisor</t>
        </is>
      </c>
      <c r="C18" t="inlineStr">
        <is>
          <t>Operação</t>
        </is>
      </c>
    </row>
    <row r="19">
      <c r="A19" t="inlineStr">
        <is>
          <t>Renato Ventura</t>
        </is>
      </c>
      <c r="B19" t="inlineStr">
        <is>
          <t>Supervisor</t>
        </is>
      </c>
      <c r="C19" t="inlineStr">
        <is>
          <t>Operação</t>
        </is>
      </c>
    </row>
    <row r="20">
      <c r="A20" t="inlineStr">
        <is>
          <t>Sabrina Lopes</t>
        </is>
      </c>
      <c r="B20" t="inlineStr">
        <is>
          <t>Supervisor</t>
        </is>
      </c>
      <c r="C20" t="inlineStr">
        <is>
          <t>Operação</t>
        </is>
      </c>
    </row>
    <row r="21">
      <c r="A21" t="inlineStr">
        <is>
          <t>Tiago Moreira</t>
        </is>
      </c>
      <c r="B21" t="inlineStr">
        <is>
          <t>Supervisor</t>
        </is>
      </c>
      <c r="C21" t="inlineStr">
        <is>
          <t>Operação</t>
        </is>
      </c>
    </row>
    <row r="22">
      <c r="A22" t="inlineStr">
        <is>
          <t>Alex Nogueira</t>
        </is>
      </c>
      <c r="B22" t="inlineStr">
        <is>
          <t>Técnico</t>
        </is>
      </c>
      <c r="C22" t="inlineStr">
        <is>
          <t>Mecânica</t>
        </is>
      </c>
    </row>
    <row r="23">
      <c r="A23" t="inlineStr">
        <is>
          <t>Beatriz Farias</t>
        </is>
      </c>
      <c r="B23" t="inlineStr">
        <is>
          <t>Técnico</t>
        </is>
      </c>
      <c r="C23" t="inlineStr">
        <is>
          <t>Elétrica</t>
        </is>
      </c>
    </row>
    <row r="24">
      <c r="A24" t="inlineStr">
        <is>
          <t>Caio Rangel</t>
        </is>
      </c>
      <c r="B24" t="inlineStr">
        <is>
          <t>Técnico</t>
        </is>
      </c>
      <c r="C24" t="inlineStr">
        <is>
          <t>Hidráulica</t>
        </is>
      </c>
    </row>
    <row r="25">
      <c r="A25" t="inlineStr">
        <is>
          <t>Daniela Pires</t>
        </is>
      </c>
      <c r="B25" t="inlineStr">
        <is>
          <t>Técnico</t>
        </is>
      </c>
      <c r="C25" t="inlineStr">
        <is>
          <t>Instrumentação</t>
        </is>
      </c>
    </row>
    <row r="26">
      <c r="A26" t="inlineStr">
        <is>
          <t>Eduardo Salles</t>
        </is>
      </c>
      <c r="B26" t="inlineStr">
        <is>
          <t>Técnico</t>
        </is>
      </c>
      <c r="C26" t="inlineStr">
        <is>
          <t>Mecânica</t>
        </is>
      </c>
    </row>
    <row r="27">
      <c r="A27" t="inlineStr">
        <is>
          <t>Fernanda Quintela</t>
        </is>
      </c>
      <c r="B27" t="inlineStr">
        <is>
          <t>Técnico</t>
        </is>
      </c>
      <c r="C27" t="inlineStr">
        <is>
          <t>Civil</t>
        </is>
      </c>
    </row>
    <row r="28">
      <c r="A28" t="inlineStr">
        <is>
          <t>Gabriel Matos</t>
        </is>
      </c>
      <c r="B28" t="inlineStr">
        <is>
          <t>Técnico</t>
        </is>
      </c>
      <c r="C28" t="inlineStr">
        <is>
          <t>Elétrica</t>
        </is>
      </c>
    </row>
    <row r="29">
      <c r="A29" t="inlineStr">
        <is>
          <t>Heloísa Barreto</t>
        </is>
      </c>
      <c r="B29" t="inlineStr">
        <is>
          <t>Técnico</t>
        </is>
      </c>
      <c r="C29" t="inlineStr">
        <is>
          <t>Hidráulica</t>
        </is>
      </c>
    </row>
    <row r="30">
      <c r="A30" t="inlineStr">
        <is>
          <t>Igor Fonseca</t>
        </is>
      </c>
      <c r="B30" t="inlineStr">
        <is>
          <t>Técnico</t>
        </is>
      </c>
      <c r="C30" t="inlineStr">
        <is>
          <t>Mecânica</t>
        </is>
      </c>
    </row>
    <row r="31">
      <c r="A31" t="inlineStr">
        <is>
          <t>Juliana Aguiar</t>
        </is>
      </c>
      <c r="B31" t="inlineStr">
        <is>
          <t>Técnico</t>
        </is>
      </c>
      <c r="C31" t="inlineStr">
        <is>
          <t>Instrumentação</t>
        </is>
      </c>
    </row>
    <row r="32">
      <c r="A32" t="inlineStr">
        <is>
          <t>Kleber Antunes</t>
        </is>
      </c>
      <c r="B32" t="inlineStr">
        <is>
          <t>Técnico</t>
        </is>
      </c>
      <c r="C32" t="inlineStr">
        <is>
          <t>Elétrica</t>
        </is>
      </c>
    </row>
    <row r="33">
      <c r="A33" t="inlineStr">
        <is>
          <t>Larissa Bezerra</t>
        </is>
      </c>
      <c r="B33" t="inlineStr">
        <is>
          <t>Técnico</t>
        </is>
      </c>
      <c r="C33" t="inlineStr">
        <is>
          <t>Civil</t>
        </is>
      </c>
    </row>
    <row r="34">
      <c r="A34" t="inlineStr">
        <is>
          <t>Marcos Vinícius Rocha</t>
        </is>
      </c>
      <c r="B34" t="inlineStr">
        <is>
          <t>Técnico</t>
        </is>
      </c>
      <c r="C34" t="inlineStr">
        <is>
          <t>Mecânica</t>
        </is>
      </c>
    </row>
    <row r="35">
      <c r="A35" t="inlineStr">
        <is>
          <t>Natália Cordeiro</t>
        </is>
      </c>
      <c r="B35" t="inlineStr">
        <is>
          <t>Técnico</t>
        </is>
      </c>
      <c r="C35" t="inlineStr">
        <is>
          <t>Hidráulica</t>
        </is>
      </c>
    </row>
    <row r="36">
      <c r="A36" t="inlineStr">
        <is>
          <t>Otávio Lacerda</t>
        </is>
      </c>
      <c r="B36" t="inlineStr">
        <is>
          <t>Técnico</t>
        </is>
      </c>
      <c r="C36" t="inlineStr">
        <is>
          <t>Elétrica</t>
        </is>
      </c>
    </row>
    <row r="37">
      <c r="A37" t="inlineStr">
        <is>
          <t>Priscila Guedes</t>
        </is>
      </c>
      <c r="B37" t="inlineStr">
        <is>
          <t>Técnico</t>
        </is>
      </c>
      <c r="C37" t="inlineStr">
        <is>
          <t>Instrumentação</t>
        </is>
      </c>
    </row>
    <row r="38">
      <c r="A38" t="inlineStr">
        <is>
          <t>Rafael Torres</t>
        </is>
      </c>
      <c r="B38" t="inlineStr">
        <is>
          <t>Técnico</t>
        </is>
      </c>
      <c r="C38" t="inlineStr">
        <is>
          <t>Mecânica</t>
        </is>
      </c>
    </row>
    <row r="39">
      <c r="A39" t="inlineStr">
        <is>
          <t>Simone Carvalho</t>
        </is>
      </c>
      <c r="B39" t="inlineStr">
        <is>
          <t>Técnico</t>
        </is>
      </c>
      <c r="C39" t="inlineStr">
        <is>
          <t>Civil</t>
        </is>
      </c>
    </row>
    <row r="40">
      <c r="A40" t="inlineStr">
        <is>
          <t>Thiago Bastos</t>
        </is>
      </c>
      <c r="B40" t="inlineStr">
        <is>
          <t>Técnico</t>
        </is>
      </c>
      <c r="C40" t="inlineStr">
        <is>
          <t>Elétrica</t>
        </is>
      </c>
    </row>
    <row r="41">
      <c r="A41" t="inlineStr">
        <is>
          <t>Úrsula Maia</t>
        </is>
      </c>
      <c r="B41" t="inlineStr">
        <is>
          <t>Técnico</t>
        </is>
      </c>
      <c r="C41" t="inlineStr">
        <is>
          <t>Hidráulica</t>
        </is>
      </c>
    </row>
    <row r="42">
      <c r="A42" t="inlineStr">
        <is>
          <t>Vagner Pacheco</t>
        </is>
      </c>
      <c r="B42" t="inlineStr">
        <is>
          <t>Técnico</t>
        </is>
      </c>
      <c r="C42" t="inlineStr">
        <is>
          <t>Mecânica</t>
        </is>
      </c>
    </row>
    <row r="43">
      <c r="A43" t="inlineStr">
        <is>
          <t>Wesley Cardoso</t>
        </is>
      </c>
      <c r="B43" t="inlineStr">
        <is>
          <t>Técnico</t>
        </is>
      </c>
      <c r="C43" t="inlineStr">
        <is>
          <t>Elétrica</t>
        </is>
      </c>
    </row>
    <row r="44">
      <c r="A44" t="inlineStr">
        <is>
          <t>Yara Medeiros</t>
        </is>
      </c>
      <c r="B44" t="inlineStr">
        <is>
          <t>Técnico</t>
        </is>
      </c>
      <c r="C44" t="inlineStr">
        <is>
          <t>Instrumentação</t>
        </is>
      </c>
    </row>
    <row r="45">
      <c r="A45" t="inlineStr">
        <is>
          <t>Zeca Moraes</t>
        </is>
      </c>
      <c r="B45" t="inlineStr">
        <is>
          <t>Técnico</t>
        </is>
      </c>
      <c r="C45" t="inlineStr">
        <is>
          <t>Mecânica</t>
        </is>
      </c>
    </row>
    <row r="46">
      <c r="A46" t="inlineStr">
        <is>
          <t>Aline Rocha</t>
        </is>
      </c>
      <c r="B46" t="inlineStr">
        <is>
          <t>Técnico</t>
        </is>
      </c>
      <c r="C46" t="inlineStr">
        <is>
          <t>Hidráulica</t>
        </is>
      </c>
    </row>
    <row r="47">
      <c r="A47" t="inlineStr">
        <is>
          <t>Bernardo Leal</t>
        </is>
      </c>
      <c r="B47" t="inlineStr">
        <is>
          <t>Técnico</t>
        </is>
      </c>
      <c r="C47" t="inlineStr">
        <is>
          <t>Elétrica</t>
        </is>
      </c>
    </row>
    <row r="48">
      <c r="A48" t="inlineStr">
        <is>
          <t>Cíntia Freitas</t>
        </is>
      </c>
      <c r="B48" t="inlineStr">
        <is>
          <t>Técnico</t>
        </is>
      </c>
      <c r="C48" t="inlineStr">
        <is>
          <t>Civil</t>
        </is>
      </c>
    </row>
    <row r="49">
      <c r="A49" t="inlineStr">
        <is>
          <t>Danilo Peixoto</t>
        </is>
      </c>
      <c r="B49" t="inlineStr">
        <is>
          <t>Técnico</t>
        </is>
      </c>
      <c r="C49" t="inlineStr">
        <is>
          <t>Mecânica</t>
        </is>
      </c>
    </row>
    <row r="50">
      <c r="A50" t="inlineStr">
        <is>
          <t>Érica Andrade</t>
        </is>
      </c>
      <c r="B50" t="inlineStr">
        <is>
          <t>Técnico</t>
        </is>
      </c>
      <c r="C50" t="inlineStr">
        <is>
          <t>Hidráulica</t>
        </is>
      </c>
    </row>
    <row r="51">
      <c r="A51" t="inlineStr">
        <is>
          <t>Flávio Gusmão</t>
        </is>
      </c>
      <c r="B51" t="inlineStr">
        <is>
          <t>Técnico</t>
        </is>
      </c>
      <c r="C51" t="inlineStr">
        <is>
          <t>Elétrica</t>
        </is>
      </c>
    </row>
    <row r="52">
      <c r="A52" t="inlineStr">
        <is>
          <t>Glória Sampaio</t>
        </is>
      </c>
      <c r="B52" t="inlineStr">
        <is>
          <t>Técnico</t>
        </is>
      </c>
      <c r="C52" t="inlineStr">
        <is>
          <t>Instrumentação</t>
        </is>
      </c>
    </row>
    <row r="53">
      <c r="A53" t="inlineStr">
        <is>
          <t>Hugo Albuquerque</t>
        </is>
      </c>
      <c r="B53" t="inlineStr">
        <is>
          <t>Técnico</t>
        </is>
      </c>
      <c r="C53" t="inlineStr">
        <is>
          <t>Mecânica</t>
        </is>
      </c>
    </row>
    <row r="54">
      <c r="A54" t="inlineStr">
        <is>
          <t>Ingrid Queiroz</t>
        </is>
      </c>
      <c r="B54" t="inlineStr">
        <is>
          <t>Técnico</t>
        </is>
      </c>
      <c r="C54" t="inlineStr">
        <is>
          <t>Elétrica</t>
        </is>
      </c>
    </row>
    <row r="55">
      <c r="A55" t="inlineStr">
        <is>
          <t>Jonas Teles</t>
        </is>
      </c>
      <c r="B55" t="inlineStr">
        <is>
          <t>Técnico</t>
        </is>
      </c>
      <c r="C55" t="inlineStr">
        <is>
          <t>Hidráulica</t>
        </is>
      </c>
    </row>
    <row r="56">
      <c r="A56" t="inlineStr">
        <is>
          <t>Lívia Montenegro</t>
        </is>
      </c>
      <c r="B56" t="inlineStr">
        <is>
          <t>Técnico</t>
        </is>
      </c>
      <c r="C56" t="inlineStr">
        <is>
          <t>Civil</t>
        </is>
      </c>
    </row>
    <row r="57">
      <c r="A57" t="inlineStr">
        <is>
          <t>Murilo Paiva</t>
        </is>
      </c>
      <c r="B57" t="inlineStr">
        <is>
          <t>Técnico</t>
        </is>
      </c>
      <c r="C57" t="inlineStr">
        <is>
          <t>Mecânica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="100"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Prioridade</t>
        </is>
      </c>
    </row>
    <row r="2">
      <c r="A2" t="inlineStr">
        <is>
          <t>Aberta</t>
        </is>
      </c>
      <c r="B2" t="inlineStr">
        <is>
          <t>Crítica</t>
        </is>
      </c>
    </row>
    <row r="3">
      <c r="A3" t="inlineStr">
        <is>
          <t>Em andamento</t>
        </is>
      </c>
      <c r="B3" t="inlineStr">
        <is>
          <t>Alta</t>
        </is>
      </c>
    </row>
    <row r="4">
      <c r="A4" t="inlineStr">
        <is>
          <t>Fechada</t>
        </is>
      </c>
      <c r="B4" t="inlineStr">
        <is>
          <t>Média</t>
        </is>
      </c>
    </row>
    <row r="5">
      <c r="B5" t="inlineStr">
        <is>
          <t>Baixa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81"/>
  <sheetViews>
    <sheetView zoomScale="100" workbookViewId="0">
      <selection activeCell="A1" sqref="A1"/>
    </sheetView>
  </sheetViews>
  <sheetFormatPr baseColWidth="8" defaultRowHeight="15"/>
  <sheetData>
    <row r="1">
      <c r="A1" t="inlineStr">
        <is>
          <t>NumeroOS</t>
        </is>
      </c>
      <c r="B1" t="inlineStr">
        <is>
          <t>Titulo</t>
        </is>
      </c>
      <c r="C1" t="inlineStr">
        <is>
          <t>Descricao</t>
        </is>
      </c>
      <c r="D1" t="inlineStr">
        <is>
          <t>Local</t>
        </is>
      </c>
      <c r="E1" t="inlineStr">
        <is>
          <t>Prioridade</t>
        </is>
      </c>
      <c r="F1" t="inlineStr">
        <is>
          <t>Responsavel</t>
        </is>
      </c>
      <c r="G1" t="inlineStr">
        <is>
          <t>Status</t>
        </is>
      </c>
      <c r="H1" t="inlineStr">
        <is>
          <t>DataAbertura</t>
        </is>
      </c>
    </row>
    <row r="2">
      <c r="A2" t="inlineStr">
        <is>
          <t>OS-1500</t>
        </is>
      </c>
      <c r="B2" t="inlineStr">
        <is>
          <t>Ruído anormal no motor A-16</t>
        </is>
      </c>
      <c r="C2" t="inlineStr">
        <is>
          <t>Ruído intermitente no motor A-16 durante a partida. Temperatura normal ao toque.</t>
        </is>
      </c>
      <c r="D2" t="inlineStr">
        <is>
          <t>Captação Lagoa Seca</t>
        </is>
      </c>
      <c r="E2" t="inlineStr">
        <is>
          <t>Média</t>
        </is>
      </c>
      <c r="F2" t="inlineStr">
        <is>
          <t>Simone Carvalho</t>
        </is>
      </c>
      <c r="G2" t="inlineStr">
        <is>
          <t>Fechada</t>
        </is>
      </c>
      <c r="H2" s="5" t="n">
        <v>45659.29791666667</v>
      </c>
    </row>
    <row r="3">
      <c r="A3" t="inlineStr">
        <is>
          <t>OS-1501</t>
        </is>
      </c>
      <c r="B3" t="inlineStr">
        <is>
          <t>Vazamento na bomba E-20</t>
        </is>
      </c>
      <c r="C3" t="inlineStr">
        <is>
          <t>Vazamento pelo selo mecânico da bomba E-20. Piso molhado ao redor da base.</t>
        </is>
      </c>
      <c r="D3" t="inlineStr">
        <is>
          <t>Subestação Leste</t>
        </is>
      </c>
      <c r="E3" t="inlineStr">
        <is>
          <t>Baixa</t>
        </is>
      </c>
      <c r="F3" t="inlineStr">
        <is>
          <t>Aline Rocha</t>
        </is>
      </c>
      <c r="G3" t="inlineStr">
        <is>
          <t>Fechada</t>
        </is>
      </c>
      <c r="H3" s="5" t="n">
        <v>45659.60277777778</v>
      </c>
    </row>
    <row r="4">
      <c r="A4" t="inlineStr">
        <is>
          <t>OS-1502</t>
        </is>
      </c>
      <c r="B4" t="inlineStr">
        <is>
          <t>Disjuntor desarmando no painel G-09</t>
        </is>
      </c>
      <c r="C4" t="inlineStr">
        <is>
          <t>Disjuntor do painel G-09 desarmou três vezes no turno. Carga dentro do nominal.</t>
        </is>
      </c>
      <c r="D4" t="inlineStr">
        <is>
          <t>Adutora Tronco Norte</t>
        </is>
      </c>
      <c r="E4" t="inlineStr">
        <is>
          <t>Média</t>
        </is>
      </c>
      <c r="F4" t="inlineStr">
        <is>
          <t>Flávio Gusmão</t>
        </is>
      </c>
      <c r="G4" t="inlineStr">
        <is>
          <t>Fechada</t>
        </is>
      </c>
      <c r="H4" s="5" t="n">
        <v>45659.91388888889</v>
      </c>
    </row>
    <row r="5">
      <c r="A5" t="inlineStr">
        <is>
          <t>OS-1503</t>
        </is>
      </c>
      <c r="B5" t="inlineStr">
        <is>
          <t>Troca de filtro do compressor E-15</t>
        </is>
      </c>
      <c r="C5" t="inlineStr">
        <is>
          <t>Filtro de ar do compressor E-15 saturado. Substituição preventiva.</t>
        </is>
      </c>
      <c r="D5" t="inlineStr">
        <is>
          <t>Laboratório de Controle</t>
        </is>
      </c>
      <c r="E5" t="inlineStr">
        <is>
          <t>Média</t>
        </is>
      </c>
      <c r="F5" t="inlineStr">
        <is>
          <t>Juliana Aguiar</t>
        </is>
      </c>
      <c r="G5" t="inlineStr">
        <is>
          <t>Fechada</t>
        </is>
      </c>
      <c r="H5" s="5" t="n">
        <v>45660.20694444444</v>
      </c>
    </row>
    <row r="6">
      <c r="A6" t="inlineStr">
        <is>
          <t>OS-1504</t>
        </is>
      </c>
      <c r="B6" t="inlineStr">
        <is>
          <t>Ruído anormal no motor A-08</t>
        </is>
      </c>
      <c r="C6" t="inlineStr">
        <is>
          <t>Ruído intermitente no motor A-08 durante a partida. Temperatura normal ao toque.</t>
        </is>
      </c>
      <c r="D6" t="inlineStr">
        <is>
          <t>ETA Serra Azul</t>
        </is>
      </c>
      <c r="E6" t="inlineStr">
        <is>
          <t>Crítica</t>
        </is>
      </c>
      <c r="F6" t="inlineStr">
        <is>
          <t>Érica Andrade</t>
        </is>
      </c>
      <c r="G6" t="inlineStr">
        <is>
          <t>Fechada</t>
        </is>
      </c>
      <c r="H6" s="5" t="n">
        <v>45660.54166666666</v>
      </c>
    </row>
    <row r="7">
      <c r="A7" t="inlineStr">
        <is>
          <t>OS-1505</t>
        </is>
      </c>
      <c r="B7" t="inlineStr">
        <is>
          <t>Infiltração na parede da casa de bombas A-32</t>
        </is>
      </c>
      <c r="C7" t="inlineStr">
        <is>
          <t>Mancha de umidade crescente na parede da casa de bombas A-32.</t>
        </is>
      </c>
      <c r="D7" t="inlineStr">
        <is>
          <t>Subestação Norte</t>
        </is>
      </c>
      <c r="E7" t="inlineStr">
        <is>
          <t>Baixa</t>
        </is>
      </c>
      <c r="F7" t="inlineStr">
        <is>
          <t>Alex Nogueira</t>
        </is>
      </c>
      <c r="G7" t="inlineStr">
        <is>
          <t>Fechada</t>
        </is>
      </c>
      <c r="H7" s="5" t="n">
        <v>45660.83055555556</v>
      </c>
    </row>
    <row r="8">
      <c r="A8" t="inlineStr">
        <is>
          <t>OS-1506</t>
        </is>
      </c>
      <c r="B8" t="inlineStr">
        <is>
          <t>Disjuntor desarmando no painel G-14</t>
        </is>
      </c>
      <c r="C8" t="inlineStr">
        <is>
          <t>Disjuntor do painel G-14 desarmou três vezes no turno. Carga dentro do nominal.</t>
        </is>
      </c>
      <c r="D8" t="inlineStr">
        <is>
          <t>Base Operacional Sul</t>
        </is>
      </c>
      <c r="E8" t="inlineStr">
        <is>
          <t>Média</t>
        </is>
      </c>
      <c r="F8" t="inlineStr">
        <is>
          <t>Gabriel Matos</t>
        </is>
      </c>
      <c r="G8" t="inlineStr">
        <is>
          <t>Fechada</t>
        </is>
      </c>
      <c r="H8" s="5" t="n">
        <v>45661.15277777778</v>
      </c>
    </row>
    <row r="9">
      <c r="A9" t="inlineStr">
        <is>
          <t>OS-1507</t>
        </is>
      </c>
      <c r="B9" t="inlineStr">
        <is>
          <t>Disjuntor desarmando no painel M-09</t>
        </is>
      </c>
      <c r="C9" t="inlineStr">
        <is>
          <t>Disjuntor do painel M-09 desarmou três vezes no turno. Carga dentro do nominal.</t>
        </is>
      </c>
      <c r="D9" t="inlineStr">
        <is>
          <t>Base Operacional Norte</t>
        </is>
      </c>
      <c r="E9" t="inlineStr">
        <is>
          <t>Alta</t>
        </is>
      </c>
      <c r="F9" t="inlineStr">
        <is>
          <t>Flávio Gusmão</t>
        </is>
      </c>
      <c r="G9" t="inlineStr">
        <is>
          <t>Fechada</t>
        </is>
      </c>
      <c r="H9" s="5" t="n">
        <v>45661.42708333334</v>
      </c>
    </row>
    <row r="10">
      <c r="A10" t="inlineStr">
        <is>
          <t>OS-1508</t>
        </is>
      </c>
      <c r="B10" t="inlineStr">
        <is>
          <t>Lâmpada queimada na área F-21</t>
        </is>
      </c>
      <c r="C10" t="inlineStr">
        <is>
          <t>Iluminação da área F-21 sem funcionar. Reposição de lâmpada e conferência do reator.</t>
        </is>
      </c>
      <c r="D10" t="inlineStr">
        <is>
          <t>Booster Morada do Sol</t>
        </is>
      </c>
      <c r="E10" t="inlineStr">
        <is>
          <t>Baixa</t>
        </is>
      </c>
      <c r="F10" t="inlineStr">
        <is>
          <t>Thiago Bastos</t>
        </is>
      </c>
      <c r="G10" t="inlineStr">
        <is>
          <t>Fechada</t>
        </is>
      </c>
      <c r="H10" s="5" t="n">
        <v>45661.73888888889</v>
      </c>
    </row>
    <row r="11">
      <c r="A11" t="inlineStr">
        <is>
          <t>OS-1509</t>
        </is>
      </c>
      <c r="B11" t="inlineStr">
        <is>
          <t>Ruído anormal no motor F-24</t>
        </is>
      </c>
      <c r="C11" t="inlineStr">
        <is>
          <t>Ruído intermitente no motor F-24 durante a partida. Temperatura normal ao toque.</t>
        </is>
      </c>
      <c r="D11" t="inlineStr">
        <is>
          <t>ETE Rio Claro</t>
        </is>
      </c>
      <c r="E11" t="inlineStr">
        <is>
          <t>Média</t>
        </is>
      </c>
      <c r="F11" t="inlineStr">
        <is>
          <t>Priscila Guedes</t>
        </is>
      </c>
      <c r="G11" t="inlineStr">
        <is>
          <t>Fechada</t>
        </is>
      </c>
      <c r="H11" s="5" t="n">
        <v>45662.06180555555</v>
      </c>
    </row>
    <row r="12">
      <c r="A12" t="inlineStr">
        <is>
          <t>OS-1510</t>
        </is>
      </c>
      <c r="B12" t="inlineStr">
        <is>
          <t>Aquecimento no mancal do motor E-06</t>
        </is>
      </c>
      <c r="C12" t="inlineStr">
        <is>
          <t>Mancal do motor E-06 acima da temperatura usual na medição com termômetro infravermelho.</t>
        </is>
      </c>
      <c r="D12" t="inlineStr">
        <is>
          <t>Estação Elevatória Oeste</t>
        </is>
      </c>
      <c r="E12" t="inlineStr">
        <is>
          <t>Média</t>
        </is>
      </c>
      <c r="F12" t="inlineStr">
        <is>
          <t>Beatriz Farias</t>
        </is>
      </c>
      <c r="G12" t="inlineStr">
        <is>
          <t>Fechada</t>
        </is>
      </c>
      <c r="H12" s="5" t="n">
        <v>45662.37083333333</v>
      </c>
    </row>
    <row r="13">
      <c r="A13" t="inlineStr">
        <is>
          <t>OS-1511</t>
        </is>
      </c>
      <c r="B13" t="inlineStr">
        <is>
          <t>Lâmpada queimada na área H-18</t>
        </is>
      </c>
      <c r="C13" t="inlineStr">
        <is>
          <t>Iluminação da área H-18 sem funcionar. Reposição de lâmpada e conferência do reator.</t>
        </is>
      </c>
      <c r="D13" t="inlineStr">
        <is>
          <t>Captação Rio Verde</t>
        </is>
      </c>
      <c r="E13" t="inlineStr">
        <is>
          <t>Crítica</t>
        </is>
      </c>
      <c r="F13" t="inlineStr">
        <is>
          <t>Murilo Paiva</t>
        </is>
      </c>
      <c r="G13" t="inlineStr">
        <is>
          <t>Fechada</t>
        </is>
      </c>
      <c r="H13" s="5" t="n">
        <v>45662.64722222222</v>
      </c>
    </row>
    <row r="14">
      <c r="A14" t="inlineStr">
        <is>
          <t>OS-1512</t>
        </is>
      </c>
      <c r="B14" t="inlineStr">
        <is>
          <t>Tomada sem energia na sala H-39</t>
        </is>
      </c>
      <c r="C14" t="inlineStr">
        <is>
          <t>Tomada de serviço da sala H-39 sem tensão.</t>
        </is>
      </c>
      <c r="D14" t="inlineStr">
        <is>
          <t>Oficina Mecânica Central</t>
        </is>
      </c>
      <c r="E14" t="inlineStr">
        <is>
          <t>Média</t>
        </is>
      </c>
      <c r="F14" t="inlineStr">
        <is>
          <t>Bernardo Leal</t>
        </is>
      </c>
      <c r="G14" t="inlineStr">
        <is>
          <t>Fechada</t>
        </is>
      </c>
      <c r="H14" s="5" t="n">
        <v>45662.95694444444</v>
      </c>
    </row>
    <row r="15">
      <c r="A15" t="inlineStr">
        <is>
          <t>OS-1513</t>
        </is>
      </c>
      <c r="B15" t="inlineStr">
        <is>
          <t>Correia do ventilador H-08 desgastada</t>
        </is>
      </c>
      <c r="C15" t="inlineStr">
        <is>
          <t>Correia do ventilador H-08 com trincas visíveis e folga excessiva.</t>
        </is>
      </c>
      <c r="D15" t="inlineStr">
        <is>
          <t>Estação Elevatória Porto</t>
        </is>
      </c>
      <c r="E15" t="inlineStr">
        <is>
          <t>Alta</t>
        </is>
      </c>
      <c r="F15" t="inlineStr">
        <is>
          <t>Simone Carvalho</t>
        </is>
      </c>
      <c r="G15" t="inlineStr">
        <is>
          <t>Fechada</t>
        </is>
      </c>
      <c r="H15" s="5" t="n">
        <v>45663.25902777778</v>
      </c>
    </row>
    <row r="16">
      <c r="A16" t="inlineStr">
        <is>
          <t>OS-1514</t>
        </is>
      </c>
      <c r="B16" t="inlineStr">
        <is>
          <t>Correia do ventilador T-23 desgastada</t>
        </is>
      </c>
      <c r="C16" t="inlineStr">
        <is>
          <t>Correia do ventilador T-23 com trincas visíveis e folga excessiva.</t>
        </is>
      </c>
      <c r="D16" t="inlineStr">
        <is>
          <t>Centro de Operações</t>
        </is>
      </c>
      <c r="E16" t="inlineStr">
        <is>
          <t>Média</t>
        </is>
      </c>
      <c r="F16" t="inlineStr">
        <is>
          <t>Hugo Albuquerque</t>
        </is>
      </c>
      <c r="G16" t="inlineStr">
        <is>
          <t>Fechada</t>
        </is>
      </c>
      <c r="H16" s="5" t="n">
        <v>45663.58888888889</v>
      </c>
    </row>
    <row r="17">
      <c r="A17" t="inlineStr">
        <is>
          <t>OS-1515</t>
        </is>
      </c>
      <c r="B17" t="inlineStr">
        <is>
          <t>Exaustor G-07 parado</t>
        </is>
      </c>
      <c r="C17" t="inlineStr">
        <is>
          <t>Exaustor G-07 não parte. Fusível íntegro.</t>
        </is>
      </c>
      <c r="D17" t="inlineStr">
        <is>
          <t>Pátio de Veículos</t>
        </is>
      </c>
      <c r="E17" t="inlineStr">
        <is>
          <t>Média</t>
        </is>
      </c>
      <c r="F17" t="inlineStr">
        <is>
          <t>Danilo Peixoto</t>
        </is>
      </c>
      <c r="G17" t="inlineStr">
        <is>
          <t>Fechada</t>
        </is>
      </c>
      <c r="H17" s="5" t="n">
        <v>45663.89236111111</v>
      </c>
    </row>
    <row r="18">
      <c r="A18" t="inlineStr">
        <is>
          <t>OS-1516</t>
        </is>
      </c>
      <c r="B18" t="inlineStr">
        <is>
          <t>Infiltração na parede da casa de bombas D-08</t>
        </is>
      </c>
      <c r="C18" t="inlineStr">
        <is>
          <t>Mancha de umidade crescente na parede da casa de bombas D-08.</t>
        </is>
      </c>
      <c r="D18" t="inlineStr">
        <is>
          <t>Subestação Leste</t>
        </is>
      </c>
      <c r="E18" t="inlineStr">
        <is>
          <t>Média</t>
        </is>
      </c>
      <c r="F18" t="inlineStr">
        <is>
          <t>Flávio Gusmão</t>
        </is>
      </c>
      <c r="G18" t="inlineStr">
        <is>
          <t>Fechada</t>
        </is>
      </c>
      <c r="H18" s="5" t="n">
        <v>45664.18541666667</v>
      </c>
    </row>
    <row r="19">
      <c r="A19" t="inlineStr">
        <is>
          <t>OS-1517</t>
        </is>
      </c>
      <c r="B19" t="inlineStr">
        <is>
          <t>Troca de filtro do compressor M-21</t>
        </is>
      </c>
      <c r="C19" t="inlineStr">
        <is>
          <t>Filtro de ar do compressor M-21 saturado. Substituição preventiva.</t>
        </is>
      </c>
      <c r="D19" t="inlineStr">
        <is>
          <t>Almoxarifado Central</t>
        </is>
      </c>
      <c r="E19" t="inlineStr">
        <is>
          <t>Baixa</t>
        </is>
      </c>
      <c r="F19" t="inlineStr">
        <is>
          <t>Caio Rangel</t>
        </is>
      </c>
      <c r="G19" t="inlineStr">
        <is>
          <t>Fechada</t>
        </is>
      </c>
      <c r="H19" s="5" t="n">
        <v>45664.48333333333</v>
      </c>
    </row>
    <row r="20">
      <c r="A20" t="inlineStr">
        <is>
          <t>OS-1518</t>
        </is>
      </c>
      <c r="B20" t="inlineStr">
        <is>
          <t>Ruído anormal no motor A-36</t>
        </is>
      </c>
      <c r="C20" t="inlineStr">
        <is>
          <t>Ruído intermitente no motor A-36 durante a partida. Temperatura normal ao toque.</t>
        </is>
      </c>
      <c r="D20" t="inlineStr">
        <is>
          <t>Reservatório Santa Luzia</t>
        </is>
      </c>
      <c r="E20" t="inlineStr">
        <is>
          <t>Crítica</t>
        </is>
      </c>
      <c r="F20" t="inlineStr">
        <is>
          <t>Natália Cordeiro</t>
        </is>
      </c>
      <c r="G20" t="inlineStr">
        <is>
          <t>Fechada</t>
        </is>
      </c>
      <c r="H20" s="5" t="n">
        <v>45664.80902777778</v>
      </c>
    </row>
    <row r="21">
      <c r="A21" t="inlineStr">
        <is>
          <t>OS-1519</t>
        </is>
      </c>
      <c r="B21" t="inlineStr">
        <is>
          <t>Falha de comunicação no CLP F-37</t>
        </is>
      </c>
      <c r="C21" t="inlineStr">
        <is>
          <t>CLP F-37 perde comunicação com o supervisório em intervalos irregulares.</t>
        </is>
      </c>
      <c r="D21" t="inlineStr">
        <is>
          <t>Reservatório Alto da Colina</t>
        </is>
      </c>
      <c r="E21" t="inlineStr">
        <is>
          <t>Média</t>
        </is>
      </c>
      <c r="F21" t="inlineStr">
        <is>
          <t>Érica Andrade</t>
        </is>
      </c>
      <c r="G21" t="inlineStr">
        <is>
          <t>Fechada</t>
        </is>
      </c>
      <c r="H21" s="5" t="n">
        <v>45665.10069444445</v>
      </c>
    </row>
    <row r="22">
      <c r="A22" t="inlineStr">
        <is>
          <t>OS-1520</t>
        </is>
      </c>
      <c r="B22" t="inlineStr">
        <is>
          <t>Ruído anormal no motor M-30</t>
        </is>
      </c>
      <c r="C22" t="inlineStr">
        <is>
          <t>Ruído intermitente no motor M-30 durante a partida. Temperatura normal ao toque.</t>
        </is>
      </c>
      <c r="D22" t="inlineStr">
        <is>
          <t>Usina Fotovoltaica Planalto</t>
        </is>
      </c>
      <c r="E22" t="inlineStr">
        <is>
          <t>Alta</t>
        </is>
      </c>
      <c r="F22" t="inlineStr">
        <is>
          <t>Simone Carvalho</t>
        </is>
      </c>
      <c r="G22" t="inlineStr">
        <is>
          <t>Fechada</t>
        </is>
      </c>
      <c r="H22" s="5" t="n">
        <v>45665.40763888889</v>
      </c>
    </row>
    <row r="23">
      <c r="A23" t="inlineStr">
        <is>
          <t>OS-1521</t>
        </is>
      </c>
      <c r="B23" t="inlineStr">
        <is>
          <t>Vazamento na bomba G-08</t>
        </is>
      </c>
      <c r="C23" t="inlineStr">
        <is>
          <t>Vazamento pelo selo mecânico da bomba G-08. Piso molhado ao redor da base.</t>
        </is>
      </c>
      <c r="D23" t="inlineStr">
        <is>
          <t>Adutora Tronco Norte</t>
        </is>
      </c>
      <c r="E23" t="inlineStr">
        <is>
          <t>Baixa</t>
        </is>
      </c>
      <c r="F23" t="inlineStr">
        <is>
          <t>Ingrid Queiroz</t>
        </is>
      </c>
      <c r="G23" t="inlineStr">
        <is>
          <t>Fechada</t>
        </is>
      </c>
      <c r="H23" s="5" t="n">
        <v>45665.70972222222</v>
      </c>
    </row>
    <row r="24">
      <c r="A24" t="inlineStr">
        <is>
          <t>OS-1522</t>
        </is>
      </c>
      <c r="B24" t="inlineStr">
        <is>
          <t>Troca de filtro do compressor R-26</t>
        </is>
      </c>
      <c r="C24" t="inlineStr">
        <is>
          <t>Filtro de ar do compressor R-26 saturado. Substituição preventiva.</t>
        </is>
      </c>
      <c r="D24" t="inlineStr">
        <is>
          <t>Captação Rio Verde</t>
        </is>
      </c>
      <c r="E24" t="inlineStr">
        <is>
          <t>Baixa</t>
        </is>
      </c>
      <c r="F24" t="inlineStr">
        <is>
          <t>Eduardo Salles</t>
        </is>
      </c>
      <c r="G24" t="inlineStr">
        <is>
          <t>Fechada</t>
        </is>
      </c>
      <c r="H24" s="5" t="n">
        <v>45666.00763888889</v>
      </c>
    </row>
    <row r="25">
      <c r="A25" t="inlineStr">
        <is>
          <t>OS-1523</t>
        </is>
      </c>
      <c r="B25" t="inlineStr">
        <is>
          <t>Válvula V-18 não fecha por completo</t>
        </is>
      </c>
      <c r="C25" t="inlineStr">
        <is>
          <t>Válvula V-18 com passagem residual mesmo totalmente fechada. Possível desgaste da sede.</t>
        </is>
      </c>
      <c r="D25" t="inlineStr">
        <is>
          <t>Subestação Leste</t>
        </is>
      </c>
      <c r="E25" t="inlineStr">
        <is>
          <t>Média</t>
        </is>
      </c>
      <c r="F25" t="inlineStr">
        <is>
          <t>Gabriel Matos</t>
        </is>
      </c>
      <c r="G25" t="inlineStr">
        <is>
          <t>Fechada</t>
        </is>
      </c>
      <c r="H25" s="5" t="n">
        <v>45666.30972222222</v>
      </c>
    </row>
    <row r="26">
      <c r="A26" t="inlineStr">
        <is>
          <t>OS-1524</t>
        </is>
      </c>
      <c r="B26" t="inlineStr">
        <is>
          <t>Lâmpada queimada na área P-02</t>
        </is>
      </c>
      <c r="C26" t="inlineStr">
        <is>
          <t>Iluminação da área P-02 sem funcionar. Reposição de lâmpada e conferência do reator.</t>
        </is>
      </c>
      <c r="D26" t="inlineStr">
        <is>
          <t>Base Operacional Serra</t>
        </is>
      </c>
      <c r="E26" t="inlineStr">
        <is>
          <t>Baixa</t>
        </is>
      </c>
      <c r="F26" t="inlineStr">
        <is>
          <t>Danilo Peixoto</t>
        </is>
      </c>
      <c r="G26" t="inlineStr">
        <is>
          <t>Fechada</t>
        </is>
      </c>
      <c r="H26" s="5" t="n">
        <v>45666.62013888889</v>
      </c>
    </row>
    <row r="27">
      <c r="A27" t="inlineStr">
        <is>
          <t>OS-1525</t>
        </is>
      </c>
      <c r="B27" t="inlineStr">
        <is>
          <t>Ar-condicionado da sala A-16 sem refrigerar</t>
        </is>
      </c>
      <c r="C27" t="inlineStr">
        <is>
          <t>Ar-condicionado da sala de painéis A-16 ligado sem refrigerar.</t>
        </is>
      </c>
      <c r="D27" t="inlineStr">
        <is>
          <t>Laboratório de Controle</t>
        </is>
      </c>
      <c r="E27" t="inlineStr">
        <is>
          <t>Baixa</t>
        </is>
      </c>
      <c r="F27" t="inlineStr">
        <is>
          <t>Thiago Bastos</t>
        </is>
      </c>
      <c r="G27" t="inlineStr">
        <is>
          <t>Fechada</t>
        </is>
      </c>
      <c r="H27" s="5" t="n">
        <v>45666.94652777778</v>
      </c>
    </row>
    <row r="28">
      <c r="A28" t="inlineStr">
        <is>
          <t>OS-1526</t>
        </is>
      </c>
      <c r="B28" t="inlineStr">
        <is>
          <t>Falha de comunicação no CLP F-28</t>
        </is>
      </c>
      <c r="C28" t="inlineStr">
        <is>
          <t>CLP F-28 perde comunicação com o supervisório em intervalos irregulares.</t>
        </is>
      </c>
      <c r="D28" t="inlineStr">
        <is>
          <t>ETE Rio Claro</t>
        </is>
      </c>
      <c r="E28" t="inlineStr">
        <is>
          <t>Média</t>
        </is>
      </c>
      <c r="F28" t="inlineStr">
        <is>
          <t>Ingrid Queiroz</t>
        </is>
      </c>
      <c r="G28" t="inlineStr">
        <is>
          <t>Fechada</t>
        </is>
      </c>
      <c r="H28" s="5" t="n">
        <v>45667.26041666666</v>
      </c>
    </row>
    <row r="29">
      <c r="A29" t="inlineStr">
        <is>
          <t>OS-1527</t>
        </is>
      </c>
      <c r="B29" t="inlineStr">
        <is>
          <t>Bomba dosadora D-08 sem recalque</t>
        </is>
      </c>
      <c r="C29" t="inlineStr">
        <is>
          <t>Bomba dosadora D-08 liga mas não dosa. Mangueira sem obstrução aparente.</t>
        </is>
      </c>
      <c r="D29" t="inlineStr">
        <is>
          <t>Estação Elevatória Porto</t>
        </is>
      </c>
      <c r="E29" t="inlineStr">
        <is>
          <t>Crítica</t>
        </is>
      </c>
      <c r="F29" t="inlineStr">
        <is>
          <t>Gabriel Matos</t>
        </is>
      </c>
      <c r="G29" t="inlineStr">
        <is>
          <t>Fechada</t>
        </is>
      </c>
      <c r="H29" s="5" t="n">
        <v>45667.54305555556</v>
      </c>
    </row>
    <row r="30">
      <c r="A30" t="inlineStr">
        <is>
          <t>OS-1528</t>
        </is>
      </c>
      <c r="B30" t="inlineStr">
        <is>
          <t>Disjuntor desarmando no painel H-30</t>
        </is>
      </c>
      <c r="C30" t="inlineStr">
        <is>
          <t>Disjuntor do painel H-30 desarmou três vezes no turno. Carga dentro do nominal.</t>
        </is>
      </c>
      <c r="D30" t="inlineStr">
        <is>
          <t>Laboratório de Controle</t>
        </is>
      </c>
      <c r="E30" t="inlineStr">
        <is>
          <t>Baixa</t>
        </is>
      </c>
      <c r="F30" t="inlineStr">
        <is>
          <t>Alex Nogueira</t>
        </is>
      </c>
      <c r="G30" t="inlineStr">
        <is>
          <t>Fechada</t>
        </is>
      </c>
      <c r="H30" s="5" t="n">
        <v>45667.85277777778</v>
      </c>
    </row>
    <row r="31">
      <c r="A31" t="inlineStr">
        <is>
          <t>OS-1529</t>
        </is>
      </c>
      <c r="B31" t="inlineStr">
        <is>
          <t>Lâmpada queimada na área H-22</t>
        </is>
      </c>
      <c r="C31" t="inlineStr">
        <is>
          <t>Iluminação da área H-22 sem funcionar. Reposição de lâmpada e conferência do reator.</t>
        </is>
      </c>
      <c r="D31" t="inlineStr">
        <is>
          <t>ETA Central</t>
        </is>
      </c>
      <c r="E31" t="inlineStr">
        <is>
          <t>Baixa</t>
        </is>
      </c>
      <c r="F31" t="inlineStr">
        <is>
          <t>Daniela Pires</t>
        </is>
      </c>
      <c r="G31" t="inlineStr">
        <is>
          <t>Fechada</t>
        </is>
      </c>
      <c r="H31" s="5" t="n">
        <v>45668.15347222222</v>
      </c>
    </row>
    <row r="32">
      <c r="A32" t="inlineStr">
        <is>
          <t>OS-1530</t>
        </is>
      </c>
      <c r="B32" t="inlineStr">
        <is>
          <t>Infiltração na parede da casa de bombas T-28</t>
        </is>
      </c>
      <c r="C32" t="inlineStr">
        <is>
          <t>Mancha de umidade crescente na parede da casa de bombas T-28.</t>
        </is>
      </c>
      <c r="D32" t="inlineStr">
        <is>
          <t>Estação de Bombeamento Três Pontes</t>
        </is>
      </c>
      <c r="E32" t="inlineStr">
        <is>
          <t>Média</t>
        </is>
      </c>
      <c r="F32" t="inlineStr">
        <is>
          <t>Bernardo Leal</t>
        </is>
      </c>
      <c r="G32" t="inlineStr">
        <is>
          <t>Fechada</t>
        </is>
      </c>
      <c r="H32" s="5" t="n">
        <v>45668.45347222222</v>
      </c>
    </row>
    <row r="33">
      <c r="A33" t="inlineStr">
        <is>
          <t>OS-1531</t>
        </is>
      </c>
      <c r="B33" t="inlineStr">
        <is>
          <t>Válvula P-26 não fecha por completo</t>
        </is>
      </c>
      <c r="C33" t="inlineStr">
        <is>
          <t>Válvula P-26 com passagem residual mesmo totalmente fechada. Possível desgaste da sede.</t>
        </is>
      </c>
      <c r="D33" t="inlineStr">
        <is>
          <t>Adutora Tronco Norte</t>
        </is>
      </c>
      <c r="E33" t="inlineStr">
        <is>
          <t>Média</t>
        </is>
      </c>
      <c r="F33" t="inlineStr">
        <is>
          <t>Marcos Vinícius Rocha</t>
        </is>
      </c>
      <c r="G33" t="inlineStr">
        <is>
          <t>Fechada</t>
        </is>
      </c>
      <c r="H33" s="5" t="n">
        <v>45668.76388888889</v>
      </c>
    </row>
    <row r="34">
      <c r="A34" t="inlineStr">
        <is>
          <t>OS-1532</t>
        </is>
      </c>
      <c r="B34" t="inlineStr">
        <is>
          <t>Vazamento de óleo no redutor P-22</t>
        </is>
      </c>
      <c r="C34" t="inlineStr">
        <is>
          <t>Gotejamento de óleo no redutor P-22. Nível ainda dentro da faixa.</t>
        </is>
      </c>
      <c r="D34" t="inlineStr">
        <is>
          <t>Galpão de Materiais</t>
        </is>
      </c>
      <c r="E34" t="inlineStr">
        <is>
          <t>Baixa</t>
        </is>
      </c>
      <c r="F34" t="inlineStr">
        <is>
          <t>Natália Cordeiro</t>
        </is>
      </c>
      <c r="G34" t="inlineStr">
        <is>
          <t>Fechada</t>
        </is>
      </c>
      <c r="H34" s="5" t="n">
        <v>45669.075</v>
      </c>
    </row>
    <row r="35">
      <c r="A35" t="inlineStr">
        <is>
          <t>OS-1533</t>
        </is>
      </c>
      <c r="B35" t="inlineStr">
        <is>
          <t>Lâmpada queimada na área M-22</t>
        </is>
      </c>
      <c r="C35" t="inlineStr">
        <is>
          <t>Iluminação da área M-22 sem funcionar. Reposição de lâmpada e conferência do reator.</t>
        </is>
      </c>
      <c r="D35" t="inlineStr">
        <is>
          <t>Almoxarifado Central</t>
        </is>
      </c>
      <c r="E35" t="inlineStr">
        <is>
          <t>Média</t>
        </is>
      </c>
      <c r="F35" t="inlineStr">
        <is>
          <t>Natália Cordeiro</t>
        </is>
      </c>
      <c r="G35" t="inlineStr">
        <is>
          <t>Fechada</t>
        </is>
      </c>
      <c r="H35" s="5" t="n">
        <v>45669.37152777778</v>
      </c>
    </row>
    <row r="36">
      <c r="A36" t="inlineStr">
        <is>
          <t>OS-1534</t>
        </is>
      </c>
      <c r="B36" t="inlineStr">
        <is>
          <t>Portão da área R-27 emperrado</t>
        </is>
      </c>
      <c r="C36" t="inlineStr">
        <is>
          <t>Portão de acesso da área R-27 exige força excessiva para abrir.</t>
        </is>
      </c>
      <c r="D36" t="inlineStr">
        <is>
          <t>Subestação Leste</t>
        </is>
      </c>
      <c r="E36" t="inlineStr">
        <is>
          <t>Baixa</t>
        </is>
      </c>
      <c r="F36" t="inlineStr">
        <is>
          <t>Kleber Antunes</t>
        </is>
      </c>
      <c r="G36" t="inlineStr">
        <is>
          <t>Fechada</t>
        </is>
      </c>
      <c r="H36" s="5" t="n">
        <v>45669.69791666666</v>
      </c>
    </row>
    <row r="37">
      <c r="A37" t="inlineStr">
        <is>
          <t>OS-1535</t>
        </is>
      </c>
      <c r="B37" t="inlineStr">
        <is>
          <t>Calha entupida no prédio D-39</t>
        </is>
      </c>
      <c r="C37" t="inlineStr">
        <is>
          <t>Calha do prédio D-39 transbordando em dia de chuva.</t>
        </is>
      </c>
      <c r="D37" t="inlineStr">
        <is>
          <t>Laboratório de Controle</t>
        </is>
      </c>
      <c r="E37" t="inlineStr">
        <is>
          <t>Baixa</t>
        </is>
      </c>
      <c r="F37" t="inlineStr">
        <is>
          <t>Eduardo Salles</t>
        </is>
      </c>
      <c r="G37" t="inlineStr">
        <is>
          <t>Fechada</t>
        </is>
      </c>
      <c r="H37" s="5" t="n">
        <v>45669.97847222222</v>
      </c>
    </row>
    <row r="38">
      <c r="A38" t="inlineStr">
        <is>
          <t>OS-1536</t>
        </is>
      </c>
      <c r="B38" t="inlineStr">
        <is>
          <t>Disjuntor desarmando no painel M-35</t>
        </is>
      </c>
      <c r="C38" t="inlineStr">
        <is>
          <t>Disjuntor do painel M-35 desarmou três vezes no turno. Carga dentro do nominal.</t>
        </is>
      </c>
      <c r="D38" t="inlineStr">
        <is>
          <t>Adutora Tronco Sul</t>
        </is>
      </c>
      <c r="E38" t="inlineStr">
        <is>
          <t>Média</t>
        </is>
      </c>
      <c r="F38" t="inlineStr">
        <is>
          <t>Eduardo Salles</t>
        </is>
      </c>
      <c r="G38" t="inlineStr">
        <is>
          <t>Fechada</t>
        </is>
      </c>
      <c r="H38" s="5" t="n">
        <v>45670.28472222222</v>
      </c>
    </row>
    <row r="39">
      <c r="A39" t="inlineStr">
        <is>
          <t>OS-1537</t>
        </is>
      </c>
      <c r="B39" t="inlineStr">
        <is>
          <t>Ruído anormal no motor F-11</t>
        </is>
      </c>
      <c r="C39" t="inlineStr">
        <is>
          <t>Ruído intermitente no motor F-11 durante a partida. Temperatura normal ao toque.</t>
        </is>
      </c>
      <c r="D39" t="inlineStr">
        <is>
          <t>Reservatório Industrial</t>
        </is>
      </c>
      <c r="E39" t="inlineStr">
        <is>
          <t>Média</t>
        </is>
      </c>
      <c r="F39" t="inlineStr">
        <is>
          <t>Lívia Montenegro</t>
        </is>
      </c>
      <c r="G39" t="inlineStr">
        <is>
          <t>Fechada</t>
        </is>
      </c>
      <c r="H39" s="5" t="n">
        <v>45670.61875</v>
      </c>
    </row>
    <row r="40">
      <c r="A40" t="inlineStr">
        <is>
          <t>OS-1538</t>
        </is>
      </c>
      <c r="B40" t="inlineStr">
        <is>
          <t>Portão da área M-34 emperrado</t>
        </is>
      </c>
      <c r="C40" t="inlineStr">
        <is>
          <t>Portão de acesso da área M-34 exige força excessiva para abrir.</t>
        </is>
      </c>
      <c r="D40" t="inlineStr">
        <is>
          <t>Almoxarifado Central</t>
        </is>
      </c>
      <c r="E40" t="inlineStr">
        <is>
          <t>Média</t>
        </is>
      </c>
      <c r="F40" t="inlineStr">
        <is>
          <t>Kleber Antunes</t>
        </is>
      </c>
      <c r="G40" t="inlineStr">
        <is>
          <t>Fechada</t>
        </is>
      </c>
      <c r="H40" s="5" t="n">
        <v>45670.90694444445</v>
      </c>
    </row>
    <row r="41">
      <c r="A41" t="inlineStr">
        <is>
          <t>OS-1539</t>
        </is>
      </c>
      <c r="B41" t="inlineStr">
        <is>
          <t>Lâmpada queimada na área P-22</t>
        </is>
      </c>
      <c r="C41" t="inlineStr">
        <is>
          <t>Iluminação da área P-22 sem funcionar. Reposição de lâmpada e conferência do reator.</t>
        </is>
      </c>
      <c r="D41" t="inlineStr">
        <is>
          <t>Estação Elevatória Oeste</t>
        </is>
      </c>
      <c r="E41" t="inlineStr">
        <is>
          <t>Média</t>
        </is>
      </c>
      <c r="F41" t="inlineStr">
        <is>
          <t>Ingrid Queiroz</t>
        </is>
      </c>
      <c r="G41" t="inlineStr">
        <is>
          <t>Fechada</t>
        </is>
      </c>
      <c r="H41" s="5" t="n">
        <v>45671.225</v>
      </c>
    </row>
    <row r="42">
      <c r="A42" t="inlineStr">
        <is>
          <t>OS-1540</t>
        </is>
      </c>
      <c r="B42" t="inlineStr">
        <is>
          <t>Válvula V-12 não fecha por completo</t>
        </is>
      </c>
      <c r="C42" t="inlineStr">
        <is>
          <t>Válvula V-12 com passagem residual mesmo totalmente fechada. Possível desgaste da sede.</t>
        </is>
      </c>
      <c r="D42" t="inlineStr">
        <is>
          <t>ETE Vale do Sol</t>
        </is>
      </c>
      <c r="E42" t="inlineStr">
        <is>
          <t>Baixa</t>
        </is>
      </c>
      <c r="F42" t="inlineStr">
        <is>
          <t>Natália Cordeiro</t>
        </is>
      </c>
      <c r="G42" t="inlineStr">
        <is>
          <t>Fechada</t>
        </is>
      </c>
      <c r="H42" s="5" t="n">
        <v>45671.52152777778</v>
      </c>
    </row>
    <row r="43">
      <c r="A43" t="inlineStr">
        <is>
          <t>OS-1541</t>
        </is>
      </c>
      <c r="B43" t="inlineStr">
        <is>
          <t>Ruído anormal no motor R-22</t>
        </is>
      </c>
      <c r="C43" t="inlineStr">
        <is>
          <t>Ruído intermitente no motor R-22 durante a partida. Temperatura normal ao toque.</t>
        </is>
      </c>
      <c r="D43" t="inlineStr">
        <is>
          <t>ETA Serra Azul</t>
        </is>
      </c>
      <c r="E43" t="inlineStr">
        <is>
          <t>Média</t>
        </is>
      </c>
      <c r="F43" t="inlineStr">
        <is>
          <t>Érica Andrade</t>
        </is>
      </c>
      <c r="G43" t="inlineStr">
        <is>
          <t>Fechada</t>
        </is>
      </c>
      <c r="H43" s="5" t="n">
        <v>45671.80416666667</v>
      </c>
    </row>
    <row r="44">
      <c r="A44" t="inlineStr">
        <is>
          <t>OS-1542</t>
        </is>
      </c>
      <c r="B44" t="inlineStr">
        <is>
          <t>Vazamento na bomba V-09</t>
        </is>
      </c>
      <c r="C44" t="inlineStr">
        <is>
          <t>Vazamento pelo selo mecânico da bomba V-09. Piso molhado ao redor da base.</t>
        </is>
      </c>
      <c r="D44" t="inlineStr">
        <is>
          <t>Pátio de Veículos</t>
        </is>
      </c>
      <c r="E44" t="inlineStr">
        <is>
          <t>Média</t>
        </is>
      </c>
      <c r="F44" t="inlineStr">
        <is>
          <t>Yara Medeiros</t>
        </is>
      </c>
      <c r="G44" t="inlineStr">
        <is>
          <t>Fechada</t>
        </is>
      </c>
      <c r="H44" s="5" t="n">
        <v>45672.13055555556</v>
      </c>
    </row>
    <row r="45">
      <c r="A45" t="inlineStr">
        <is>
          <t>OS-1543</t>
        </is>
      </c>
      <c r="B45" t="inlineStr">
        <is>
          <t>Lâmpada queimada na área C-27</t>
        </is>
      </c>
      <c r="C45" t="inlineStr">
        <is>
          <t>Iluminação da área C-27 sem funcionar. Reposição de lâmpada e conferência do reator.</t>
        </is>
      </c>
      <c r="D45" t="inlineStr">
        <is>
          <t>ETE Jardim Bela Vista</t>
        </is>
      </c>
      <c r="E45" t="inlineStr">
        <is>
          <t>Alta</t>
        </is>
      </c>
      <c r="F45" t="inlineStr">
        <is>
          <t>Rafael Torres</t>
        </is>
      </c>
      <c r="G45" t="inlineStr">
        <is>
          <t>Fechada</t>
        </is>
      </c>
      <c r="H45" s="5" t="n">
        <v>45672.45</v>
      </c>
    </row>
    <row r="46">
      <c r="A46" t="inlineStr">
        <is>
          <t>OS-1544</t>
        </is>
      </c>
      <c r="B46" t="inlineStr">
        <is>
          <t>Vazamento de óleo no redutor C-15</t>
        </is>
      </c>
      <c r="C46" t="inlineStr">
        <is>
          <t>Gotejamento de óleo no redutor C-15. Nível ainda dentro da faixa.</t>
        </is>
      </c>
      <c r="D46" t="inlineStr">
        <is>
          <t>Captação Rio Verde</t>
        </is>
      </c>
      <c r="E46" t="inlineStr">
        <is>
          <t>Baixa</t>
        </is>
      </c>
      <c r="F46" t="inlineStr">
        <is>
          <t>Natália Cordeiro</t>
        </is>
      </c>
      <c r="G46" t="inlineStr">
        <is>
          <t>Fechada</t>
        </is>
      </c>
      <c r="H46" s="5" t="n">
        <v>45672.74722222222</v>
      </c>
    </row>
    <row r="47">
      <c r="A47" t="inlineStr">
        <is>
          <t>OS-1545</t>
        </is>
      </c>
      <c r="B47" t="inlineStr">
        <is>
          <t>Ar-condicionado da sala V-38 sem refrigerar</t>
        </is>
      </c>
      <c r="C47" t="inlineStr">
        <is>
          <t>Ar-condicionado da sala de painéis V-38 ligado sem refrigerar.</t>
        </is>
      </c>
      <c r="D47" t="inlineStr">
        <is>
          <t>Estação de Bombeamento Três Pontes</t>
        </is>
      </c>
      <c r="E47" t="inlineStr">
        <is>
          <t>Média</t>
        </is>
      </c>
      <c r="F47" t="inlineStr">
        <is>
          <t>Vagner Pacheco</t>
        </is>
      </c>
      <c r="G47" t="inlineStr">
        <is>
          <t>Fechada</t>
        </is>
      </c>
      <c r="H47" s="5" t="n">
        <v>45673.05069444444</v>
      </c>
    </row>
    <row r="48">
      <c r="A48" t="inlineStr">
        <is>
          <t>OS-1546</t>
        </is>
      </c>
      <c r="B48" t="inlineStr">
        <is>
          <t>Exaustor H-22 parado</t>
        </is>
      </c>
      <c r="C48" t="inlineStr">
        <is>
          <t>Exaustor H-22 não parte. Fusível íntegro.</t>
        </is>
      </c>
      <c r="D48" t="inlineStr">
        <is>
          <t>Reservatório Industrial</t>
        </is>
      </c>
      <c r="E48" t="inlineStr">
        <is>
          <t>Baixa</t>
        </is>
      </c>
      <c r="F48" t="inlineStr">
        <is>
          <t>Cíntia Freitas</t>
        </is>
      </c>
      <c r="G48" t="inlineStr">
        <is>
          <t>Fechada</t>
        </is>
      </c>
      <c r="H48" s="5" t="n">
        <v>45673.35625</v>
      </c>
    </row>
    <row r="49">
      <c r="A49" t="inlineStr">
        <is>
          <t>OS-1547</t>
        </is>
      </c>
      <c r="B49" t="inlineStr">
        <is>
          <t>Ruído anormal no motor G-21</t>
        </is>
      </c>
      <c r="C49" t="inlineStr">
        <is>
          <t>Ruído intermitente no motor G-21 durante a partida. Temperatura normal ao toque.</t>
        </is>
      </c>
      <c r="D49" t="inlineStr">
        <is>
          <t>Captação Rio Verde</t>
        </is>
      </c>
      <c r="E49" t="inlineStr">
        <is>
          <t>Média</t>
        </is>
      </c>
      <c r="F49" t="inlineStr">
        <is>
          <t>Vagner Pacheco</t>
        </is>
      </c>
      <c r="G49" t="inlineStr">
        <is>
          <t>Fechada</t>
        </is>
      </c>
      <c r="H49" s="5" t="n">
        <v>45673.63680555556</v>
      </c>
    </row>
    <row r="50">
      <c r="A50" t="inlineStr">
        <is>
          <t>OS-1548</t>
        </is>
      </c>
      <c r="B50" t="inlineStr">
        <is>
          <t>Tomada sem energia na sala H-18</t>
        </is>
      </c>
      <c r="C50" t="inlineStr">
        <is>
          <t>Tomada de serviço da sala H-18 sem tensão.</t>
        </is>
      </c>
      <c r="D50" t="inlineStr">
        <is>
          <t>ETE Rio Claro</t>
        </is>
      </c>
      <c r="E50" t="inlineStr">
        <is>
          <t>Alta</t>
        </is>
      </c>
      <c r="F50" t="inlineStr">
        <is>
          <t>Murilo Paiva</t>
        </is>
      </c>
      <c r="G50" t="inlineStr">
        <is>
          <t>Fechada</t>
        </is>
      </c>
      <c r="H50" s="5" t="n">
        <v>45673.97291666667</v>
      </c>
    </row>
    <row r="51">
      <c r="A51" t="inlineStr">
        <is>
          <t>OS-1549</t>
        </is>
      </c>
      <c r="B51" t="inlineStr">
        <is>
          <t>Disjuntor desarmando no painel H-12</t>
        </is>
      </c>
      <c r="C51" t="inlineStr">
        <is>
          <t>Disjuntor do painel H-12 desarmou três vezes no turno. Carga dentro do nominal.</t>
        </is>
      </c>
      <c r="D51" t="inlineStr">
        <is>
          <t>Oficina Mecânica Central</t>
        </is>
      </c>
      <c r="E51" t="inlineStr">
        <is>
          <t>Média</t>
        </is>
      </c>
      <c r="F51" t="inlineStr">
        <is>
          <t>Aline Rocha</t>
        </is>
      </c>
      <c r="G51" t="inlineStr">
        <is>
          <t>Fechada</t>
        </is>
      </c>
      <c r="H51" s="5" t="n">
        <v>45674.25694444445</v>
      </c>
    </row>
    <row r="52">
      <c r="A52" t="inlineStr">
        <is>
          <t>OS-1550</t>
        </is>
      </c>
      <c r="B52" t="inlineStr">
        <is>
          <t>Correia do ventilador F-38 desgastada</t>
        </is>
      </c>
      <c r="C52" t="inlineStr">
        <is>
          <t>Correia do ventilador F-38 com trincas visíveis e folga excessiva.</t>
        </is>
      </c>
      <c r="D52" t="inlineStr">
        <is>
          <t>Adutora Tronco Sul</t>
        </is>
      </c>
      <c r="E52" t="inlineStr">
        <is>
          <t>Baixa</t>
        </is>
      </c>
      <c r="F52" t="inlineStr">
        <is>
          <t>Flávio Gusmão</t>
        </is>
      </c>
      <c r="G52" t="inlineStr">
        <is>
          <t>Fechada</t>
        </is>
      </c>
      <c r="H52" s="5" t="n">
        <v>45674.57777777778</v>
      </c>
    </row>
    <row r="53">
      <c r="A53" t="inlineStr">
        <is>
          <t>OS-1551</t>
        </is>
      </c>
      <c r="B53" t="inlineStr">
        <is>
          <t>Aquecimento no mancal do motor E-24</t>
        </is>
      </c>
      <c r="C53" t="inlineStr">
        <is>
          <t>Mancal do motor E-24 acima da temperatura usual na medição com termômetro infravermelho.</t>
        </is>
      </c>
      <c r="D53" t="inlineStr">
        <is>
          <t>Reservatório Santa Luzia</t>
        </is>
      </c>
      <c r="E53" t="inlineStr">
        <is>
          <t>Baixa</t>
        </is>
      </c>
      <c r="F53" t="inlineStr">
        <is>
          <t>Úrsula Maia</t>
        </is>
      </c>
      <c r="G53" t="inlineStr">
        <is>
          <t>Fechada</t>
        </is>
      </c>
      <c r="H53" s="5" t="n">
        <v>45674.89097222222</v>
      </c>
    </row>
    <row r="54">
      <c r="A54" t="inlineStr">
        <is>
          <t>OS-1552</t>
        </is>
      </c>
      <c r="B54" t="inlineStr">
        <is>
          <t>Infiltração na parede da casa de bombas H-35</t>
        </is>
      </c>
      <c r="C54" t="inlineStr">
        <is>
          <t>Mancha de umidade crescente na parede da casa de bombas H-35.</t>
        </is>
      </c>
      <c r="D54" t="inlineStr">
        <is>
          <t>Sede Administrativa</t>
        </is>
      </c>
      <c r="E54" t="inlineStr">
        <is>
          <t>Alta</t>
        </is>
      </c>
      <c r="F54" t="inlineStr">
        <is>
          <t>Flávio Gusmão</t>
        </is>
      </c>
      <c r="G54" t="inlineStr">
        <is>
          <t>Fechada</t>
        </is>
      </c>
      <c r="H54" s="5" t="n">
        <v>45675.18055555555</v>
      </c>
    </row>
    <row r="55">
      <c r="A55" t="inlineStr">
        <is>
          <t>OS-1553</t>
        </is>
      </c>
      <c r="B55" t="inlineStr">
        <is>
          <t>Pintura descascada na estrutura A-04</t>
        </is>
      </c>
      <c r="C55" t="inlineStr">
        <is>
          <t>Estrutura metálica A-04 com pontos de corrosão sob a pintura.</t>
        </is>
      </c>
      <c r="D55" t="inlineStr">
        <is>
          <t>Usina Fotovoltaica Cerrado</t>
        </is>
      </c>
      <c r="E55" t="inlineStr">
        <is>
          <t>Média</t>
        </is>
      </c>
      <c r="F55" t="inlineStr">
        <is>
          <t>Flávio Gusmão</t>
        </is>
      </c>
      <c r="G55" t="inlineStr">
        <is>
          <t>Fechada</t>
        </is>
      </c>
      <c r="H55" s="5" t="n">
        <v>45675.49236111111</v>
      </c>
    </row>
    <row r="56">
      <c r="A56" t="inlineStr">
        <is>
          <t>OS-1554</t>
        </is>
      </c>
      <c r="B56" t="inlineStr">
        <is>
          <t>Falha de comunicação no CLP R-28</t>
        </is>
      </c>
      <c r="C56" t="inlineStr">
        <is>
          <t>CLP R-28 perde comunicação com o supervisório em intervalos irregulares.</t>
        </is>
      </c>
      <c r="D56" t="inlineStr">
        <is>
          <t>Adutora Tronco Norte</t>
        </is>
      </c>
      <c r="E56" t="inlineStr">
        <is>
          <t>Média</t>
        </is>
      </c>
      <c r="F56" t="inlineStr">
        <is>
          <t>Juliana Aguiar</t>
        </is>
      </c>
      <c r="G56" t="inlineStr">
        <is>
          <t>Fechada</t>
        </is>
      </c>
      <c r="H56" s="5" t="n">
        <v>45675.77638888889</v>
      </c>
    </row>
    <row r="57">
      <c r="A57" t="inlineStr">
        <is>
          <t>OS-1555</t>
        </is>
      </c>
      <c r="B57" t="inlineStr">
        <is>
          <t>Tomada sem energia na sala C-33</t>
        </is>
      </c>
      <c r="C57" t="inlineStr">
        <is>
          <t>Tomada de serviço da sala C-33 sem tensão.</t>
        </is>
      </c>
      <c r="D57" t="inlineStr">
        <is>
          <t>Estação de Bombeamento Vila Nova</t>
        </is>
      </c>
      <c r="E57" t="inlineStr">
        <is>
          <t>Baixa</t>
        </is>
      </c>
      <c r="F57" t="inlineStr">
        <is>
          <t>Igor Fonseca</t>
        </is>
      </c>
      <c r="G57" t="inlineStr">
        <is>
          <t>Fechada</t>
        </is>
      </c>
      <c r="H57" s="5" t="n">
        <v>45676.0875</v>
      </c>
    </row>
    <row r="58">
      <c r="A58" t="inlineStr">
        <is>
          <t>OS-1556</t>
        </is>
      </c>
      <c r="B58" t="inlineStr">
        <is>
          <t>Vazamento de óleo no redutor T-18</t>
        </is>
      </c>
      <c r="C58" t="inlineStr">
        <is>
          <t>Gotejamento de óleo no redutor T-18. Nível ainda dentro da faixa.</t>
        </is>
      </c>
      <c r="D58" t="inlineStr">
        <is>
          <t>Subestação Centro</t>
        </is>
      </c>
      <c r="E58" t="inlineStr">
        <is>
          <t>Média</t>
        </is>
      </c>
      <c r="F58" t="inlineStr">
        <is>
          <t>Fernanda Quintela</t>
        </is>
      </c>
      <c r="G58" t="inlineStr">
        <is>
          <t>Fechada</t>
        </is>
      </c>
      <c r="H58" s="5" t="n">
        <v>45676.37708333333</v>
      </c>
    </row>
    <row r="59">
      <c r="A59" t="inlineStr">
        <is>
          <t>OS-1557</t>
        </is>
      </c>
      <c r="B59" t="inlineStr">
        <is>
          <t>Disjuntor desarmando no painel A-01</t>
        </is>
      </c>
      <c r="C59" t="inlineStr">
        <is>
          <t>Disjuntor do painel A-01 desarmou três vezes no turno. Carga dentro do nominal.</t>
        </is>
      </c>
      <c r="D59" t="inlineStr">
        <is>
          <t>Adutora Tronco Sul</t>
        </is>
      </c>
      <c r="E59" t="inlineStr">
        <is>
          <t>Média</t>
        </is>
      </c>
      <c r="F59" t="inlineStr">
        <is>
          <t>Simone Carvalho</t>
        </is>
      </c>
      <c r="G59" t="inlineStr">
        <is>
          <t>Fechada</t>
        </is>
      </c>
      <c r="H59" s="5" t="n">
        <v>45676.71527777778</v>
      </c>
    </row>
    <row r="60">
      <c r="A60" t="inlineStr">
        <is>
          <t>OS-1558</t>
        </is>
      </c>
      <c r="B60" t="inlineStr">
        <is>
          <t>Vazamento na bomba A-30</t>
        </is>
      </c>
      <c r="C60" t="inlineStr">
        <is>
          <t>Vazamento pelo selo mecânico da bomba A-30. Piso molhado ao redor da base.</t>
        </is>
      </c>
      <c r="D60" t="inlineStr">
        <is>
          <t>Adutora Tronco Sul</t>
        </is>
      </c>
      <c r="E60" t="inlineStr">
        <is>
          <t>Baixa</t>
        </is>
      </c>
      <c r="F60" t="inlineStr">
        <is>
          <t>Rafael Torres</t>
        </is>
      </c>
      <c r="G60" t="inlineStr">
        <is>
          <t>Fechada</t>
        </is>
      </c>
      <c r="H60" s="5" t="n">
        <v>45677.01111111111</v>
      </c>
    </row>
    <row r="61">
      <c r="A61" t="inlineStr">
        <is>
          <t>OS-1559</t>
        </is>
      </c>
      <c r="B61" t="inlineStr">
        <is>
          <t>Lâmpada queimada na área R-16</t>
        </is>
      </c>
      <c r="C61" t="inlineStr">
        <is>
          <t>Iluminação da área R-16 sem funcionar. Reposição de lâmpada e conferência do reator.</t>
        </is>
      </c>
      <c r="D61" t="inlineStr">
        <is>
          <t>Subestação Sul</t>
        </is>
      </c>
      <c r="E61" t="inlineStr">
        <is>
          <t>Média</t>
        </is>
      </c>
      <c r="F61" t="inlineStr">
        <is>
          <t>Larissa Bezerra</t>
        </is>
      </c>
      <c r="G61" t="inlineStr">
        <is>
          <t>Fechada</t>
        </is>
      </c>
      <c r="H61" s="5" t="n">
        <v>45677.32361111111</v>
      </c>
    </row>
    <row r="62">
      <c r="A62" t="inlineStr">
        <is>
          <t>OS-1560</t>
        </is>
      </c>
      <c r="B62" t="inlineStr">
        <is>
          <t>Medidor de vazão C-01 com leitura instável</t>
        </is>
      </c>
      <c r="C62" t="inlineStr">
        <is>
          <t>Medidor de vazão C-01 oscila sem variação de processo.</t>
        </is>
      </c>
      <c r="D62" t="inlineStr">
        <is>
          <t>Estação de Bombeamento Vila Nova</t>
        </is>
      </c>
      <c r="E62" t="inlineStr">
        <is>
          <t>Crítica</t>
        </is>
      </c>
      <c r="F62" t="inlineStr">
        <is>
          <t>Daniela Pires</t>
        </is>
      </c>
      <c r="G62" t="inlineStr">
        <is>
          <t>Fechada</t>
        </is>
      </c>
      <c r="H62" s="5" t="n">
        <v>45677.63611111111</v>
      </c>
    </row>
    <row r="63">
      <c r="A63" t="inlineStr">
        <is>
          <t>OS-1561</t>
        </is>
      </c>
      <c r="B63" t="inlineStr">
        <is>
          <t>Calha entupida no prédio F-19</t>
        </is>
      </c>
      <c r="C63" t="inlineStr">
        <is>
          <t>Calha do prédio F-19 transbordando em dia de chuva.</t>
        </is>
      </c>
      <c r="D63" t="inlineStr">
        <is>
          <t>Captação Lagoa Seca</t>
        </is>
      </c>
      <c r="E63" t="inlineStr">
        <is>
          <t>Baixa</t>
        </is>
      </c>
      <c r="F63" t="inlineStr">
        <is>
          <t>Jonas Teles</t>
        </is>
      </c>
      <c r="G63" t="inlineStr">
        <is>
          <t>Fechada</t>
        </is>
      </c>
      <c r="H63" s="5" t="n">
        <v>45677.91527777778</v>
      </c>
    </row>
    <row r="64">
      <c r="A64" t="inlineStr">
        <is>
          <t>OS-1562</t>
        </is>
      </c>
      <c r="B64" t="inlineStr">
        <is>
          <t>Vazamento na bomba M-06</t>
        </is>
      </c>
      <c r="C64" t="inlineStr">
        <is>
          <t>Vazamento pelo selo mecânico da bomba M-06. Piso molhado ao redor da base.</t>
        </is>
      </c>
      <c r="D64" t="inlineStr">
        <is>
          <t>Booster Morada do Sol</t>
        </is>
      </c>
      <c r="E64" t="inlineStr">
        <is>
          <t>Média</t>
        </is>
      </c>
      <c r="F64" t="inlineStr">
        <is>
          <t>Bernardo Leal</t>
        </is>
      </c>
      <c r="G64" t="inlineStr">
        <is>
          <t>Fechada</t>
        </is>
      </c>
      <c r="H64" s="5" t="n">
        <v>45678.22291666667</v>
      </c>
    </row>
    <row r="65">
      <c r="A65" t="inlineStr">
        <is>
          <t>OS-1563</t>
        </is>
      </c>
      <c r="B65" t="inlineStr">
        <is>
          <t>Tomada sem energia na sala E-07</t>
        </is>
      </c>
      <c r="C65" t="inlineStr">
        <is>
          <t>Tomada de serviço da sala E-07 sem tensão.</t>
        </is>
      </c>
      <c r="D65" t="inlineStr">
        <is>
          <t>Base Operacional Serra</t>
        </is>
      </c>
      <c r="E65" t="inlineStr">
        <is>
          <t>Baixa</t>
        </is>
      </c>
      <c r="F65" t="inlineStr">
        <is>
          <t>Zeca Moraes</t>
        </is>
      </c>
      <c r="G65" t="inlineStr">
        <is>
          <t>Fechada</t>
        </is>
      </c>
      <c r="H65" s="5" t="n">
        <v>45678.53194444445</v>
      </c>
    </row>
    <row r="66">
      <c r="A66" t="inlineStr">
        <is>
          <t>OS-1564</t>
        </is>
      </c>
      <c r="B66" t="inlineStr">
        <is>
          <t>Disjuntor desarmando no painel F-21</t>
        </is>
      </c>
      <c r="C66" t="inlineStr">
        <is>
          <t>Disjuntor do painel F-21 desarmou três vezes no turno. Carga dentro do nominal.</t>
        </is>
      </c>
      <c r="D66" t="inlineStr">
        <is>
          <t>Reservatório Alto da Colina</t>
        </is>
      </c>
      <c r="E66" t="inlineStr">
        <is>
          <t>Baixa</t>
        </is>
      </c>
      <c r="F66" t="inlineStr">
        <is>
          <t>Juliana Aguiar</t>
        </is>
      </c>
      <c r="G66" t="inlineStr">
        <is>
          <t>Fechada</t>
        </is>
      </c>
      <c r="H66" s="5" t="n">
        <v>45678.82708333333</v>
      </c>
    </row>
    <row r="67">
      <c r="A67" t="inlineStr">
        <is>
          <t>OS-1565</t>
        </is>
      </c>
      <c r="B67" t="inlineStr">
        <is>
          <t>Medidor de vazão F-06 com leitura instável</t>
        </is>
      </c>
      <c r="C67" t="inlineStr">
        <is>
          <t>Medidor de vazão F-06 oscila sem variação de processo.</t>
        </is>
      </c>
      <c r="D67" t="inlineStr">
        <is>
          <t>Estação Elevatória Leste</t>
        </is>
      </c>
      <c r="E67" t="inlineStr">
        <is>
          <t>Alta</t>
        </is>
      </c>
      <c r="F67" t="inlineStr">
        <is>
          <t>Gabriel Matos</t>
        </is>
      </c>
      <c r="G67" t="inlineStr">
        <is>
          <t>Fechada</t>
        </is>
      </c>
      <c r="H67" s="5" t="n">
        <v>45679.13611111111</v>
      </c>
    </row>
    <row r="68">
      <c r="A68" t="inlineStr">
        <is>
          <t>OS-1566</t>
        </is>
      </c>
      <c r="B68" t="inlineStr">
        <is>
          <t>Medidor de vazão A-24 com leitura instável</t>
        </is>
      </c>
      <c r="C68" t="inlineStr">
        <is>
          <t>Medidor de vazão A-24 oscila sem variação de processo.</t>
        </is>
      </c>
      <c r="D68" t="inlineStr">
        <is>
          <t>Adutora Tronco Sul</t>
        </is>
      </c>
      <c r="E68" t="inlineStr">
        <is>
          <t>Média</t>
        </is>
      </c>
      <c r="F68" t="inlineStr">
        <is>
          <t>Lívia Montenegro</t>
        </is>
      </c>
      <c r="G68" t="inlineStr">
        <is>
          <t>Fechada</t>
        </is>
      </c>
      <c r="H68" s="5" t="n">
        <v>45679.44791666666</v>
      </c>
    </row>
    <row r="69">
      <c r="A69" t="inlineStr">
        <is>
          <t>OS-1567</t>
        </is>
      </c>
      <c r="B69" t="inlineStr">
        <is>
          <t>Lâmpada queimada na área A-19</t>
        </is>
      </c>
      <c r="C69" t="inlineStr">
        <is>
          <t>Iluminação da área A-19 sem funcionar. Reposição de lâmpada e conferência do reator.</t>
        </is>
      </c>
      <c r="D69" t="inlineStr">
        <is>
          <t>ETE Jardim Bela Vista</t>
        </is>
      </c>
      <c r="E69" t="inlineStr">
        <is>
          <t>Média</t>
        </is>
      </c>
      <c r="F69" t="inlineStr">
        <is>
          <t>Simone Carvalho</t>
        </is>
      </c>
      <c r="G69" t="inlineStr">
        <is>
          <t>Fechada</t>
        </is>
      </c>
      <c r="H69" s="5" t="n">
        <v>45679.75763888889</v>
      </c>
    </row>
    <row r="70">
      <c r="A70" t="inlineStr">
        <is>
          <t>OS-1568</t>
        </is>
      </c>
      <c r="B70" t="inlineStr">
        <is>
          <t>Pintura descascada na estrutura M-39</t>
        </is>
      </c>
      <c r="C70" t="inlineStr">
        <is>
          <t>Estrutura metálica M-39 com pontos de corrosão sob a pintura.</t>
        </is>
      </c>
      <c r="D70" t="inlineStr">
        <is>
          <t>Subestação Norte</t>
        </is>
      </c>
      <c r="E70" t="inlineStr">
        <is>
          <t>Alta</t>
        </is>
      </c>
      <c r="F70" t="inlineStr">
        <is>
          <t>Heloísa Barreto</t>
        </is>
      </c>
      <c r="G70" t="inlineStr">
        <is>
          <t>Fechada</t>
        </is>
      </c>
      <c r="H70" s="5" t="n">
        <v>45680.05486111111</v>
      </c>
    </row>
    <row r="71">
      <c r="A71" t="inlineStr">
        <is>
          <t>OS-1569</t>
        </is>
      </c>
      <c r="B71" t="inlineStr">
        <is>
          <t>Troca de filtro do compressor C-22</t>
        </is>
      </c>
      <c r="C71" t="inlineStr">
        <is>
          <t>Filtro de ar do compressor C-22 saturado. Substituição preventiva.</t>
        </is>
      </c>
      <c r="D71" t="inlineStr">
        <is>
          <t>Base Operacional Norte</t>
        </is>
      </c>
      <c r="E71" t="inlineStr">
        <is>
          <t>Baixa</t>
        </is>
      </c>
      <c r="F71" t="inlineStr">
        <is>
          <t>Lívia Montenegro</t>
        </is>
      </c>
      <c r="G71" t="inlineStr">
        <is>
          <t>Fechada</t>
        </is>
      </c>
      <c r="H71" s="5" t="n">
        <v>45680.34791666667</v>
      </c>
    </row>
    <row r="72">
      <c r="A72" t="inlineStr">
        <is>
          <t>OS-1570</t>
        </is>
      </c>
      <c r="B72" t="inlineStr">
        <is>
          <t>Bomba dosadora T-37 sem recalque</t>
        </is>
      </c>
      <c r="C72" t="inlineStr">
        <is>
          <t>Bomba dosadora T-37 liga mas não dosa. Mangueira sem obstrução aparente.</t>
        </is>
      </c>
      <c r="D72" t="inlineStr">
        <is>
          <t>Reservatório Industrial</t>
        </is>
      </c>
      <c r="E72" t="inlineStr">
        <is>
          <t>Média</t>
        </is>
      </c>
      <c r="F72" t="inlineStr">
        <is>
          <t>Rafael Torres</t>
        </is>
      </c>
      <c r="G72" t="inlineStr">
        <is>
          <t>Fechada</t>
        </is>
      </c>
      <c r="H72" s="5" t="n">
        <v>45680.67430555556</v>
      </c>
    </row>
    <row r="73">
      <c r="A73" t="inlineStr">
        <is>
          <t>OS-1571</t>
        </is>
      </c>
      <c r="B73" t="inlineStr">
        <is>
          <t>Sensor de nível sem leitura no tanque H-31</t>
        </is>
      </c>
      <c r="C73" t="inlineStr">
        <is>
          <t>Supervisório mostra leitura congelada do sensor de nível do tanque H-31.</t>
        </is>
      </c>
      <c r="D73" t="inlineStr">
        <is>
          <t>ETA Ribeirão Fundo</t>
        </is>
      </c>
      <c r="E73" t="inlineStr">
        <is>
          <t>Média</t>
        </is>
      </c>
      <c r="F73" t="inlineStr">
        <is>
          <t>Cíntia Freitas</t>
        </is>
      </c>
      <c r="G73" t="inlineStr">
        <is>
          <t>Fechada</t>
        </is>
      </c>
      <c r="H73" s="5" t="n">
        <v>45680.95416666667</v>
      </c>
    </row>
    <row r="74">
      <c r="A74" t="inlineStr">
        <is>
          <t>OS-1572</t>
        </is>
      </c>
      <c r="B74" t="inlineStr">
        <is>
          <t>Portão da área C-28 emperrado</t>
        </is>
      </c>
      <c r="C74" t="inlineStr">
        <is>
          <t>Portão de acesso da área C-28 exige força excessiva para abrir.</t>
        </is>
      </c>
      <c r="D74" t="inlineStr">
        <is>
          <t>Base Operacional Serra</t>
        </is>
      </c>
      <c r="E74" t="inlineStr">
        <is>
          <t>Baixa</t>
        </is>
      </c>
      <c r="F74" t="inlineStr">
        <is>
          <t>Zeca Moraes</t>
        </is>
      </c>
      <c r="G74" t="inlineStr">
        <is>
          <t>Fechada</t>
        </is>
      </c>
      <c r="H74" s="5" t="n">
        <v>45681.28194444445</v>
      </c>
    </row>
    <row r="75">
      <c r="A75" t="inlineStr">
        <is>
          <t>OS-1573</t>
        </is>
      </c>
      <c r="B75" t="inlineStr">
        <is>
          <t>Vazamento de óleo no redutor R-02</t>
        </is>
      </c>
      <c r="C75" t="inlineStr">
        <is>
          <t>Gotejamento de óleo no redutor R-02. Nível ainda dentro da faixa.</t>
        </is>
      </c>
      <c r="D75" t="inlineStr">
        <is>
          <t>Reservatório Alto da Colina</t>
        </is>
      </c>
      <c r="E75" t="inlineStr">
        <is>
          <t>Crítica</t>
        </is>
      </c>
      <c r="F75" t="inlineStr">
        <is>
          <t>Flávio Gusmão</t>
        </is>
      </c>
      <c r="G75" t="inlineStr">
        <is>
          <t>Fechada</t>
        </is>
      </c>
      <c r="H75" s="5" t="n">
        <v>45681.58888888889</v>
      </c>
    </row>
    <row r="76">
      <c r="A76" t="inlineStr">
        <is>
          <t>OS-1574</t>
        </is>
      </c>
      <c r="B76" t="inlineStr">
        <is>
          <t>Tomada sem energia na sala R-40</t>
        </is>
      </c>
      <c r="C76" t="inlineStr">
        <is>
          <t>Tomada de serviço da sala R-40 sem tensão.</t>
        </is>
      </c>
      <c r="D76" t="inlineStr">
        <is>
          <t>ETA Central</t>
        </is>
      </c>
      <c r="E76" t="inlineStr">
        <is>
          <t>Média</t>
        </is>
      </c>
      <c r="F76" t="inlineStr">
        <is>
          <t>Wesley Cardoso</t>
        </is>
      </c>
      <c r="G76" t="inlineStr">
        <is>
          <t>Fechada</t>
        </is>
      </c>
      <c r="H76" s="5" t="n">
        <v>45681.87916666667</v>
      </c>
    </row>
    <row r="77">
      <c r="A77" t="inlineStr">
        <is>
          <t>OS-1575</t>
        </is>
      </c>
      <c r="B77" t="inlineStr">
        <is>
          <t>Ruído anormal no motor A-23</t>
        </is>
      </c>
      <c r="C77" t="inlineStr">
        <is>
          <t>Ruído intermitente no motor A-23 durante a partida. Temperatura normal ao toque.</t>
        </is>
      </c>
      <c r="D77" t="inlineStr">
        <is>
          <t>Captação Rio Verde</t>
        </is>
      </c>
      <c r="E77" t="inlineStr">
        <is>
          <t>Média</t>
        </is>
      </c>
      <c r="F77" t="inlineStr">
        <is>
          <t>Murilo Paiva</t>
        </is>
      </c>
      <c r="G77" t="inlineStr">
        <is>
          <t>Fechada</t>
        </is>
      </c>
      <c r="H77" s="5" t="n">
        <v>45682.17638888889</v>
      </c>
    </row>
    <row r="78">
      <c r="A78" t="inlineStr">
        <is>
          <t>OS-1576</t>
        </is>
      </c>
      <c r="B78" t="inlineStr">
        <is>
          <t>Correia do ventilador G-35 desgastada</t>
        </is>
      </c>
      <c r="C78" t="inlineStr">
        <is>
          <t>Correia do ventilador G-35 com trincas visíveis e folga excessiva.</t>
        </is>
      </c>
      <c r="D78" t="inlineStr">
        <is>
          <t>Adutora Tronco Norte</t>
        </is>
      </c>
      <c r="E78" t="inlineStr">
        <is>
          <t>Baixa</t>
        </is>
      </c>
      <c r="F78" t="inlineStr">
        <is>
          <t>Bernardo Leal</t>
        </is>
      </c>
      <c r="G78" t="inlineStr">
        <is>
          <t>Fechada</t>
        </is>
      </c>
      <c r="H78" s="5" t="n">
        <v>45682.51319444444</v>
      </c>
    </row>
    <row r="79">
      <c r="A79" t="inlineStr">
        <is>
          <t>OS-1577</t>
        </is>
      </c>
      <c r="B79" t="inlineStr">
        <is>
          <t>Exaustor G-32 parado</t>
        </is>
      </c>
      <c r="C79" t="inlineStr">
        <is>
          <t>Exaustor G-32 não parte. Fusível íntegro.</t>
        </is>
      </c>
      <c r="D79" t="inlineStr">
        <is>
          <t>Estação Elevatória Oeste</t>
        </is>
      </c>
      <c r="E79" t="inlineStr">
        <is>
          <t>Baixa</t>
        </is>
      </c>
      <c r="F79" t="inlineStr">
        <is>
          <t>Jonas Teles</t>
        </is>
      </c>
      <c r="G79" t="inlineStr">
        <is>
          <t>Fechada</t>
        </is>
      </c>
      <c r="H79" s="5" t="n">
        <v>45682.78611111111</v>
      </c>
    </row>
    <row r="80">
      <c r="A80" t="inlineStr">
        <is>
          <t>OS-1578</t>
        </is>
      </c>
      <c r="B80" t="inlineStr">
        <is>
          <t>Válvula D-30 não fecha por completo</t>
        </is>
      </c>
      <c r="C80" t="inlineStr">
        <is>
          <t>Válvula D-30 com passagem residual mesmo totalmente fechada. Possível desgaste da sede.</t>
        </is>
      </c>
      <c r="D80" t="inlineStr">
        <is>
          <t>Base Operacional Serra</t>
        </is>
      </c>
      <c r="E80" t="inlineStr">
        <is>
          <t>Baixa</t>
        </is>
      </c>
      <c r="F80" t="inlineStr">
        <is>
          <t>Marcos Vinícius Rocha</t>
        </is>
      </c>
      <c r="G80" t="inlineStr">
        <is>
          <t>Fechada</t>
        </is>
      </c>
      <c r="H80" s="5" t="n">
        <v>45683.09236111111</v>
      </c>
    </row>
    <row r="81">
      <c r="A81" t="inlineStr">
        <is>
          <t>OS-1579</t>
        </is>
      </c>
      <c r="B81" t="inlineStr">
        <is>
          <t>Disjuntor desarmando no painel D-40</t>
        </is>
      </c>
      <c r="C81" t="inlineStr">
        <is>
          <t>Disjuntor do painel D-40 desarmou três vezes no turno. Carga dentro do nominal.</t>
        </is>
      </c>
      <c r="D81" t="inlineStr">
        <is>
          <t>Sede Administrativa</t>
        </is>
      </c>
      <c r="E81" t="inlineStr">
        <is>
          <t>Baixa</t>
        </is>
      </c>
      <c r="F81" t="inlineStr">
        <is>
          <t>Simone Carvalho</t>
        </is>
      </c>
      <c r="G81" t="inlineStr">
        <is>
          <t>Fechada</t>
        </is>
      </c>
      <c r="H81" s="5" t="n">
        <v>45683.41736111111</v>
      </c>
    </row>
    <row r="82">
      <c r="A82" t="inlineStr">
        <is>
          <t>OS-1580</t>
        </is>
      </c>
      <c r="B82" t="inlineStr">
        <is>
          <t>Correia do ventilador T-40 desgastada</t>
        </is>
      </c>
      <c r="C82" t="inlineStr">
        <is>
          <t>Correia do ventilador T-40 com trincas visíveis e folga excessiva.</t>
        </is>
      </c>
      <c r="D82" t="inlineStr">
        <is>
          <t>Galpão de Materiais</t>
        </is>
      </c>
      <c r="E82" t="inlineStr">
        <is>
          <t>Média</t>
        </is>
      </c>
      <c r="F82" t="inlineStr">
        <is>
          <t>Simone Carvalho</t>
        </is>
      </c>
      <c r="G82" t="inlineStr">
        <is>
          <t>Fechada</t>
        </is>
      </c>
      <c r="H82" s="5" t="n">
        <v>45683.71805555555</v>
      </c>
    </row>
    <row r="83">
      <c r="A83" t="inlineStr">
        <is>
          <t>OS-1581</t>
        </is>
      </c>
      <c r="B83" t="inlineStr">
        <is>
          <t>Disjuntor desarmando no painel F-33</t>
        </is>
      </c>
      <c r="C83" t="inlineStr">
        <is>
          <t>Disjuntor do painel F-33 desarmou três vezes no turno. Carga dentro do nominal.</t>
        </is>
      </c>
      <c r="D83" t="inlineStr">
        <is>
          <t>Centro de Operações</t>
        </is>
      </c>
      <c r="E83" t="inlineStr">
        <is>
          <t>Baixa</t>
        </is>
      </c>
      <c r="F83" t="inlineStr">
        <is>
          <t>Larissa Bezerra</t>
        </is>
      </c>
      <c r="G83" t="inlineStr">
        <is>
          <t>Fechada</t>
        </is>
      </c>
      <c r="H83" s="5" t="n">
        <v>45684.00555555556</v>
      </c>
    </row>
    <row r="84">
      <c r="A84" t="inlineStr">
        <is>
          <t>OS-1582</t>
        </is>
      </c>
      <c r="B84" t="inlineStr">
        <is>
          <t>Aquecimento no mancal do motor G-30</t>
        </is>
      </c>
      <c r="C84" t="inlineStr">
        <is>
          <t>Mancal do motor G-30 acima da temperatura usual na medição com termômetro infravermelho.</t>
        </is>
      </c>
      <c r="D84" t="inlineStr">
        <is>
          <t>Captação Rio Verde</t>
        </is>
      </c>
      <c r="E84" t="inlineStr">
        <is>
          <t>Alta</t>
        </is>
      </c>
      <c r="F84" t="inlineStr">
        <is>
          <t>Jonas Teles</t>
        </is>
      </c>
      <c r="G84" t="inlineStr">
        <is>
          <t>Fechada</t>
        </is>
      </c>
      <c r="H84" s="5" t="n">
        <v>45684.32013888889</v>
      </c>
    </row>
    <row r="85">
      <c r="A85" t="inlineStr">
        <is>
          <t>OS-1583</t>
        </is>
      </c>
      <c r="B85" t="inlineStr">
        <is>
          <t>Exaustor A-14 parado</t>
        </is>
      </c>
      <c r="C85" t="inlineStr">
        <is>
          <t>Exaustor A-14 não parte. Fusível íntegro.</t>
        </is>
      </c>
      <c r="D85" t="inlineStr">
        <is>
          <t>Estação Elevatória Leste</t>
        </is>
      </c>
      <c r="E85" t="inlineStr">
        <is>
          <t>Baixa</t>
        </is>
      </c>
      <c r="F85" t="inlineStr">
        <is>
          <t>Hugo Albuquerque</t>
        </is>
      </c>
      <c r="G85" t="inlineStr">
        <is>
          <t>Fechada</t>
        </is>
      </c>
      <c r="H85" s="5" t="n">
        <v>45684.65486111111</v>
      </c>
    </row>
    <row r="86">
      <c r="A86" t="inlineStr">
        <is>
          <t>OS-1584</t>
        </is>
      </c>
      <c r="B86" t="inlineStr">
        <is>
          <t>Vazamento de óleo no redutor R-33</t>
        </is>
      </c>
      <c r="C86" t="inlineStr">
        <is>
          <t>Gotejamento de óleo no redutor R-33. Nível ainda dentro da faixa.</t>
        </is>
      </c>
      <c r="D86" t="inlineStr">
        <is>
          <t>Reservatório Alto da Colina</t>
        </is>
      </c>
      <c r="E86" t="inlineStr">
        <is>
          <t>Alta</t>
        </is>
      </c>
      <c r="F86" t="inlineStr">
        <is>
          <t>Heloísa Barreto</t>
        </is>
      </c>
      <c r="G86" t="inlineStr">
        <is>
          <t>Fechada</t>
        </is>
      </c>
      <c r="H86" s="5" t="n">
        <v>45684.92083333333</v>
      </c>
    </row>
    <row r="87">
      <c r="A87" t="inlineStr">
        <is>
          <t>OS-1585</t>
        </is>
      </c>
      <c r="B87" t="inlineStr">
        <is>
          <t>Ruído anormal no motor E-12</t>
        </is>
      </c>
      <c r="C87" t="inlineStr">
        <is>
          <t>Ruído intermitente no motor E-12 durante a partida. Temperatura normal ao toque.</t>
        </is>
      </c>
      <c r="D87" t="inlineStr">
        <is>
          <t>Base Operacional Sul</t>
        </is>
      </c>
      <c r="E87" t="inlineStr">
        <is>
          <t>Baixa</t>
        </is>
      </c>
      <c r="F87" t="inlineStr">
        <is>
          <t>Juliana Aguiar</t>
        </is>
      </c>
      <c r="G87" t="inlineStr">
        <is>
          <t>Fechada</t>
        </is>
      </c>
      <c r="H87" s="5" t="n">
        <v>45685.25069444445</v>
      </c>
    </row>
    <row r="88">
      <c r="A88" t="inlineStr">
        <is>
          <t>OS-1586</t>
        </is>
      </c>
      <c r="B88" t="inlineStr">
        <is>
          <t>Sensor de nível sem leitura no tanque F-15</t>
        </is>
      </c>
      <c r="C88" t="inlineStr">
        <is>
          <t>Supervisório mostra leitura congelada do sensor de nível do tanque F-15.</t>
        </is>
      </c>
      <c r="D88" t="inlineStr">
        <is>
          <t>ETE Jardim Bela Vista</t>
        </is>
      </c>
      <c r="E88" t="inlineStr">
        <is>
          <t>Baixa</t>
        </is>
      </c>
      <c r="F88" t="inlineStr">
        <is>
          <t>Jonas Teles</t>
        </is>
      </c>
      <c r="G88" t="inlineStr">
        <is>
          <t>Fechada</t>
        </is>
      </c>
      <c r="H88" s="5" t="n">
        <v>45685.54930555556</v>
      </c>
    </row>
    <row r="89">
      <c r="A89" t="inlineStr">
        <is>
          <t>OS-1587</t>
        </is>
      </c>
      <c r="B89" t="inlineStr">
        <is>
          <t>Ar-condicionado da sala H-34 sem refrigerar</t>
        </is>
      </c>
      <c r="C89" t="inlineStr">
        <is>
          <t>Ar-condicionado da sala de painéis H-34 ligado sem refrigerar.</t>
        </is>
      </c>
      <c r="D89" t="inlineStr">
        <is>
          <t>Centro de Operações</t>
        </is>
      </c>
      <c r="E89" t="inlineStr">
        <is>
          <t>Média</t>
        </is>
      </c>
      <c r="F89" t="inlineStr">
        <is>
          <t>Priscila Guedes</t>
        </is>
      </c>
      <c r="G89" t="inlineStr">
        <is>
          <t>Fechada</t>
        </is>
      </c>
      <c r="H89" s="5" t="n">
        <v>45685.86458333334</v>
      </c>
    </row>
    <row r="90">
      <c r="A90" t="inlineStr">
        <is>
          <t>OS-1588</t>
        </is>
      </c>
      <c r="B90" t="inlineStr">
        <is>
          <t>Correia do ventilador F-09 desgastada</t>
        </is>
      </c>
      <c r="C90" t="inlineStr">
        <is>
          <t>Correia do ventilador F-09 com trincas visíveis e folga excessiva.</t>
        </is>
      </c>
      <c r="D90" t="inlineStr">
        <is>
          <t>Base Operacional Norte</t>
        </is>
      </c>
      <c r="E90" t="inlineStr">
        <is>
          <t>Crítica</t>
        </is>
      </c>
      <c r="F90" t="inlineStr">
        <is>
          <t>Hugo Albuquerque</t>
        </is>
      </c>
      <c r="G90" t="inlineStr">
        <is>
          <t>Fechada</t>
        </is>
      </c>
      <c r="H90" s="5" t="n">
        <v>45686.16736111111</v>
      </c>
    </row>
    <row r="91">
      <c r="A91" t="inlineStr">
        <is>
          <t>OS-1589</t>
        </is>
      </c>
      <c r="B91" t="inlineStr">
        <is>
          <t>Troca de filtro do compressor G-18</t>
        </is>
      </c>
      <c r="C91" t="inlineStr">
        <is>
          <t>Filtro de ar do compressor G-18 saturado. Substituição preventiva.</t>
        </is>
      </c>
      <c r="D91" t="inlineStr">
        <is>
          <t>Subestação Sul</t>
        </is>
      </c>
      <c r="E91" t="inlineStr">
        <is>
          <t>Média</t>
        </is>
      </c>
      <c r="F91" t="inlineStr">
        <is>
          <t>Wesley Cardoso</t>
        </is>
      </c>
      <c r="G91" t="inlineStr">
        <is>
          <t>Fechada</t>
        </is>
      </c>
      <c r="H91" s="5" t="n">
        <v>45686.48125</v>
      </c>
    </row>
    <row r="92">
      <c r="A92" t="inlineStr">
        <is>
          <t>OS-1590</t>
        </is>
      </c>
      <c r="B92" t="inlineStr">
        <is>
          <t>Vazamento na bomba M-15</t>
        </is>
      </c>
      <c r="C92" t="inlineStr">
        <is>
          <t>Vazamento pelo selo mecânico da bomba M-15. Piso molhado ao redor da base.</t>
        </is>
      </c>
      <c r="D92" t="inlineStr">
        <is>
          <t>Torre de Telecomunicação Morro Alto</t>
        </is>
      </c>
      <c r="E92" t="inlineStr">
        <is>
          <t>Baixa</t>
        </is>
      </c>
      <c r="F92" t="inlineStr">
        <is>
          <t>Juliana Aguiar</t>
        </is>
      </c>
      <c r="G92" t="inlineStr">
        <is>
          <t>Fechada</t>
        </is>
      </c>
      <c r="H92" s="5" t="n">
        <v>45686.78958333333</v>
      </c>
    </row>
    <row r="93">
      <c r="A93" t="inlineStr">
        <is>
          <t>OS-1591</t>
        </is>
      </c>
      <c r="B93" t="inlineStr">
        <is>
          <t>Exaustor C-08 parado</t>
        </is>
      </c>
      <c r="C93" t="inlineStr">
        <is>
          <t>Exaustor C-08 não parte. Fusível íntegro.</t>
        </is>
      </c>
      <c r="D93" t="inlineStr">
        <is>
          <t>Estação Elevatória Porto</t>
        </is>
      </c>
      <c r="E93" t="inlineStr">
        <is>
          <t>Baixa</t>
        </is>
      </c>
      <c r="F93" t="inlineStr">
        <is>
          <t>Hugo Albuquerque</t>
        </is>
      </c>
      <c r="G93" t="inlineStr">
        <is>
          <t>Fechada</t>
        </is>
      </c>
      <c r="H93" s="5" t="n">
        <v>45687.06388888889</v>
      </c>
    </row>
    <row r="94">
      <c r="A94" t="inlineStr">
        <is>
          <t>OS-1592</t>
        </is>
      </c>
      <c r="B94" t="inlineStr">
        <is>
          <t>Ruído anormal no motor R-04</t>
        </is>
      </c>
      <c r="C94" t="inlineStr">
        <is>
          <t>Ruído intermitente no motor R-04 durante a partida. Temperatura normal ao toque.</t>
        </is>
      </c>
      <c r="D94" t="inlineStr">
        <is>
          <t>Oficina Elétrica Central</t>
        </is>
      </c>
      <c r="E94" t="inlineStr">
        <is>
          <t>Média</t>
        </is>
      </c>
      <c r="F94" t="inlineStr">
        <is>
          <t>Rafael Torres</t>
        </is>
      </c>
      <c r="G94" t="inlineStr">
        <is>
          <t>Fechada</t>
        </is>
      </c>
      <c r="H94" s="5" t="n">
        <v>45687.39583333334</v>
      </c>
    </row>
    <row r="95">
      <c r="A95" t="inlineStr">
        <is>
          <t>OS-1593</t>
        </is>
      </c>
      <c r="B95" t="inlineStr">
        <is>
          <t>Calha entupida no prédio C-37</t>
        </is>
      </c>
      <c r="C95" t="inlineStr">
        <is>
          <t>Calha do prédio C-37 transbordando em dia de chuva.</t>
        </is>
      </c>
      <c r="D95" t="inlineStr">
        <is>
          <t>Centro de Operações</t>
        </is>
      </c>
      <c r="E95" t="inlineStr">
        <is>
          <t>Média</t>
        </is>
      </c>
      <c r="F95" t="inlineStr">
        <is>
          <t>Murilo Paiva</t>
        </is>
      </c>
      <c r="G95" t="inlineStr">
        <is>
          <t>Fechada</t>
        </is>
      </c>
      <c r="H95" s="5" t="n">
        <v>45687.70069444444</v>
      </c>
    </row>
    <row r="96">
      <c r="A96" t="inlineStr">
        <is>
          <t>OS-1594</t>
        </is>
      </c>
      <c r="B96" t="inlineStr">
        <is>
          <t>Disjuntor desarmando no painel F-38</t>
        </is>
      </c>
      <c r="C96" t="inlineStr">
        <is>
          <t>Disjuntor do painel F-38 desarmou três vezes no turno. Carga dentro do nominal.</t>
        </is>
      </c>
      <c r="D96" t="inlineStr">
        <is>
          <t>Estação de Bombeamento Vila Nova</t>
        </is>
      </c>
      <c r="E96" t="inlineStr">
        <is>
          <t>Média</t>
        </is>
      </c>
      <c r="F96" t="inlineStr">
        <is>
          <t>Natália Cordeiro</t>
        </is>
      </c>
      <c r="G96" t="inlineStr">
        <is>
          <t>Fechada</t>
        </is>
      </c>
      <c r="H96" s="5" t="n">
        <v>45687.97777777778</v>
      </c>
    </row>
    <row r="97">
      <c r="A97" t="inlineStr">
        <is>
          <t>OS-1595</t>
        </is>
      </c>
      <c r="B97" t="inlineStr">
        <is>
          <t>Sensor de nível sem leitura no tanque E-02</t>
        </is>
      </c>
      <c r="C97" t="inlineStr">
        <is>
          <t>Supervisório mostra leitura congelada do sensor de nível do tanque E-02.</t>
        </is>
      </c>
      <c r="D97" t="inlineStr">
        <is>
          <t>Captação Lagoa Seca</t>
        </is>
      </c>
      <c r="E97" t="inlineStr">
        <is>
          <t>Crítica</t>
        </is>
      </c>
      <c r="F97" t="inlineStr">
        <is>
          <t>Vagner Pacheco</t>
        </is>
      </c>
      <c r="G97" t="inlineStr">
        <is>
          <t>Fechada</t>
        </is>
      </c>
      <c r="H97" s="5" t="n">
        <v>45688.28541666667</v>
      </c>
    </row>
    <row r="98">
      <c r="A98" t="inlineStr">
        <is>
          <t>OS-1596</t>
        </is>
      </c>
      <c r="B98" t="inlineStr">
        <is>
          <t>Aquecimento no mancal do motor P-29</t>
        </is>
      </c>
      <c r="C98" t="inlineStr">
        <is>
          <t>Mancal do motor P-29 acima da temperatura usual na medição com termômetro infravermelho.</t>
        </is>
      </c>
      <c r="D98" t="inlineStr">
        <is>
          <t>Reservatório Alto da Colina</t>
        </is>
      </c>
      <c r="E98" t="inlineStr">
        <is>
          <t>Média</t>
        </is>
      </c>
      <c r="F98" t="inlineStr">
        <is>
          <t>Kleber Antunes</t>
        </is>
      </c>
      <c r="G98" t="inlineStr">
        <is>
          <t>Fechada</t>
        </is>
      </c>
      <c r="H98" s="5" t="n">
        <v>45688.59236111111</v>
      </c>
    </row>
    <row r="99">
      <c r="A99" t="inlineStr">
        <is>
          <t>OS-1597</t>
        </is>
      </c>
      <c r="B99" t="inlineStr">
        <is>
          <t>Medidor de vazão H-14 com leitura instável</t>
        </is>
      </c>
      <c r="C99" t="inlineStr">
        <is>
          <t>Medidor de vazão H-14 oscila sem variação de processo.</t>
        </is>
      </c>
      <c r="D99" t="inlineStr">
        <is>
          <t>ETA Central</t>
        </is>
      </c>
      <c r="E99" t="inlineStr">
        <is>
          <t>Alta</t>
        </is>
      </c>
      <c r="F99" t="inlineStr">
        <is>
          <t>Juliana Aguiar</t>
        </is>
      </c>
      <c r="G99" t="inlineStr">
        <is>
          <t>Fechada</t>
        </is>
      </c>
      <c r="H99" s="5" t="n">
        <v>45688.90833333333</v>
      </c>
    </row>
    <row r="100">
      <c r="A100" t="inlineStr">
        <is>
          <t>OS-1598</t>
        </is>
      </c>
      <c r="B100" t="inlineStr">
        <is>
          <t>Calha entupida no prédio R-12</t>
        </is>
      </c>
      <c r="C100" t="inlineStr">
        <is>
          <t>Calha do prédio R-12 transbordando em dia de chuva.</t>
        </is>
      </c>
      <c r="D100" t="inlineStr">
        <is>
          <t>Usina Fotovoltaica Cerrado</t>
        </is>
      </c>
      <c r="E100" t="inlineStr">
        <is>
          <t>Alta</t>
        </is>
      </c>
      <c r="F100" t="inlineStr">
        <is>
          <t>Daniela Pires</t>
        </is>
      </c>
      <c r="G100" t="inlineStr">
        <is>
          <t>Fechada</t>
        </is>
      </c>
      <c r="H100" s="5" t="n">
        <v>45689.20902777778</v>
      </c>
    </row>
    <row r="101">
      <c r="A101" t="inlineStr">
        <is>
          <t>OS-1599</t>
        </is>
      </c>
      <c r="B101" t="inlineStr">
        <is>
          <t>Aquecimento no mancal do motor M-31</t>
        </is>
      </c>
      <c r="C101" t="inlineStr">
        <is>
          <t>Mancal do motor M-31 acima da temperatura usual na medição com termômetro infravermelho.</t>
        </is>
      </c>
      <c r="D101" t="inlineStr">
        <is>
          <t>Captação Rio Verde</t>
        </is>
      </c>
      <c r="E101" t="inlineStr">
        <is>
          <t>Alta</t>
        </is>
      </c>
      <c r="F101" t="inlineStr">
        <is>
          <t>Zeca Moraes</t>
        </is>
      </c>
      <c r="G101" t="inlineStr">
        <is>
          <t>Fechada</t>
        </is>
      </c>
      <c r="H101" s="5" t="n">
        <v>45689.49791666667</v>
      </c>
    </row>
    <row r="102">
      <c r="A102" t="inlineStr">
        <is>
          <t>OS-1600</t>
        </is>
      </c>
      <c r="B102" t="inlineStr">
        <is>
          <t>Sensor de nível sem leitura no tanque V-12</t>
        </is>
      </c>
      <c r="C102" t="inlineStr">
        <is>
          <t>Supervisório mostra leitura congelada do sensor de nível do tanque V-12.</t>
        </is>
      </c>
      <c r="D102" t="inlineStr">
        <is>
          <t>Torre de Telecomunicação Morro Alto</t>
        </is>
      </c>
      <c r="E102" t="inlineStr">
        <is>
          <t>Alta</t>
        </is>
      </c>
      <c r="F102" t="inlineStr">
        <is>
          <t>Hugo Albuquerque</t>
        </is>
      </c>
      <c r="G102" t="inlineStr">
        <is>
          <t>Fechada</t>
        </is>
      </c>
      <c r="H102" s="5" t="n">
        <v>45689.80416666667</v>
      </c>
    </row>
    <row r="103">
      <c r="A103" t="inlineStr">
        <is>
          <t>OS-1601</t>
        </is>
      </c>
      <c r="B103" t="inlineStr">
        <is>
          <t>Ruído anormal no motor P-06</t>
        </is>
      </c>
      <c r="C103" t="inlineStr">
        <is>
          <t>Ruído intermitente no motor P-06 durante a partida. Temperatura normal ao toque.</t>
        </is>
      </c>
      <c r="D103" t="inlineStr">
        <is>
          <t>Pátio de Veículos</t>
        </is>
      </c>
      <c r="E103" t="inlineStr">
        <is>
          <t>Alta</t>
        </is>
      </c>
      <c r="F103" t="inlineStr">
        <is>
          <t>Aline Rocha</t>
        </is>
      </c>
      <c r="G103" t="inlineStr">
        <is>
          <t>Fechada</t>
        </is>
      </c>
      <c r="H103" s="5" t="n">
        <v>45690.13194444445</v>
      </c>
    </row>
    <row r="104">
      <c r="A104" t="inlineStr">
        <is>
          <t>OS-1602</t>
        </is>
      </c>
      <c r="B104" t="inlineStr">
        <is>
          <t>Aquecimento no mancal do motor P-17</t>
        </is>
      </c>
      <c r="C104" t="inlineStr">
        <is>
          <t>Mancal do motor P-17 acima da temperatura usual na medição com termômetro infravermelho.</t>
        </is>
      </c>
      <c r="D104" t="inlineStr">
        <is>
          <t>ETA Serra Azul</t>
        </is>
      </c>
      <c r="E104" t="inlineStr">
        <is>
          <t>Baixa</t>
        </is>
      </c>
      <c r="F104" t="inlineStr">
        <is>
          <t>Wesley Cardoso</t>
        </is>
      </c>
      <c r="G104" t="inlineStr">
        <is>
          <t>Fechada</t>
        </is>
      </c>
      <c r="H104" s="5" t="n">
        <v>45690.41736111111</v>
      </c>
    </row>
    <row r="105">
      <c r="A105" t="inlineStr">
        <is>
          <t>OS-1603</t>
        </is>
      </c>
      <c r="B105" t="inlineStr">
        <is>
          <t>Troca de filtro do compressor F-33</t>
        </is>
      </c>
      <c r="C105" t="inlineStr">
        <is>
          <t>Filtro de ar do compressor F-33 saturado. Substituição preventiva.</t>
        </is>
      </c>
      <c r="D105" t="inlineStr">
        <is>
          <t>Usina Fotovoltaica Cerrado</t>
        </is>
      </c>
      <c r="E105" t="inlineStr">
        <is>
          <t>Crítica</t>
        </is>
      </c>
      <c r="F105" t="inlineStr">
        <is>
          <t>Lívia Montenegro</t>
        </is>
      </c>
      <c r="G105" t="inlineStr">
        <is>
          <t>Fechada</t>
        </is>
      </c>
      <c r="H105" s="5" t="n">
        <v>45690.75069444445</v>
      </c>
    </row>
    <row r="106">
      <c r="A106" t="inlineStr">
        <is>
          <t>OS-1604</t>
        </is>
      </c>
      <c r="B106" t="inlineStr">
        <is>
          <t>Lâmpada queimada na área V-12</t>
        </is>
      </c>
      <c r="C106" t="inlineStr">
        <is>
          <t>Iluminação da área V-12 sem funcionar. Reposição de lâmpada e conferência do reator.</t>
        </is>
      </c>
      <c r="D106" t="inlineStr">
        <is>
          <t>ETE Jardim Bela Vista</t>
        </is>
      </c>
      <c r="E106" t="inlineStr">
        <is>
          <t>Alta</t>
        </is>
      </c>
      <c r="F106" t="inlineStr">
        <is>
          <t>Simone Carvalho</t>
        </is>
      </c>
      <c r="G106" t="inlineStr">
        <is>
          <t>Fechada</t>
        </is>
      </c>
      <c r="H106" s="5" t="n">
        <v>45691.02083333334</v>
      </c>
    </row>
    <row r="107">
      <c r="A107" t="inlineStr">
        <is>
          <t>OS-1605</t>
        </is>
      </c>
      <c r="B107" t="inlineStr">
        <is>
          <t>Vazamento de óleo no redutor G-01</t>
        </is>
      </c>
      <c r="C107" t="inlineStr">
        <is>
          <t>Gotejamento de óleo no redutor G-01. Nível ainda dentro da faixa.</t>
        </is>
      </c>
      <c r="D107" t="inlineStr">
        <is>
          <t>Adutora Tronco Sul</t>
        </is>
      </c>
      <c r="E107" t="inlineStr">
        <is>
          <t>Alta</t>
        </is>
      </c>
      <c r="F107" t="inlineStr">
        <is>
          <t>Rafael Torres</t>
        </is>
      </c>
      <c r="G107" t="inlineStr">
        <is>
          <t>Fechada</t>
        </is>
      </c>
      <c r="H107" s="5" t="n">
        <v>45691.33888888889</v>
      </c>
    </row>
    <row r="108">
      <c r="A108" t="inlineStr">
        <is>
          <t>OS-1606</t>
        </is>
      </c>
      <c r="B108" t="inlineStr">
        <is>
          <t>Lâmpada queimada na área G-16</t>
        </is>
      </c>
      <c r="C108" t="inlineStr">
        <is>
          <t>Iluminação da área G-16 sem funcionar. Reposição de lâmpada e conferência do reator.</t>
        </is>
      </c>
      <c r="D108" t="inlineStr">
        <is>
          <t>ETA Serra Azul</t>
        </is>
      </c>
      <c r="E108" t="inlineStr">
        <is>
          <t>Baixa</t>
        </is>
      </c>
      <c r="F108" t="inlineStr">
        <is>
          <t>Larissa Bezerra</t>
        </is>
      </c>
      <c r="G108" t="inlineStr">
        <is>
          <t>Fechada</t>
        </is>
      </c>
      <c r="H108" s="5" t="n">
        <v>45691.64375</v>
      </c>
    </row>
    <row r="109">
      <c r="A109" t="inlineStr">
        <is>
          <t>OS-1607</t>
        </is>
      </c>
      <c r="B109" t="inlineStr">
        <is>
          <t>Disjuntor desarmando no painel V-20</t>
        </is>
      </c>
      <c r="C109" t="inlineStr">
        <is>
          <t>Disjuntor do painel V-20 desarmou três vezes no turno. Carga dentro do nominal.</t>
        </is>
      </c>
      <c r="D109" t="inlineStr">
        <is>
          <t>ETA Serra Azul</t>
        </is>
      </c>
      <c r="E109" t="inlineStr">
        <is>
          <t>Alta</t>
        </is>
      </c>
      <c r="F109" t="inlineStr">
        <is>
          <t>Simone Carvalho</t>
        </is>
      </c>
      <c r="G109" t="inlineStr">
        <is>
          <t>Fechada</t>
        </is>
      </c>
      <c r="H109" s="5" t="n">
        <v>45691.93541666667</v>
      </c>
    </row>
    <row r="110">
      <c r="A110" t="inlineStr">
        <is>
          <t>OS-1608</t>
        </is>
      </c>
      <c r="B110" t="inlineStr">
        <is>
          <t>Sensor de nível sem leitura no tanque V-06</t>
        </is>
      </c>
      <c r="C110" t="inlineStr">
        <is>
          <t>Supervisório mostra leitura congelada do sensor de nível do tanque V-06.</t>
        </is>
      </c>
      <c r="D110" t="inlineStr">
        <is>
          <t>Captação Lagoa Seca</t>
        </is>
      </c>
      <c r="E110" t="inlineStr">
        <is>
          <t>Média</t>
        </is>
      </c>
      <c r="F110" t="inlineStr">
        <is>
          <t>Bernardo Leal</t>
        </is>
      </c>
      <c r="G110" t="inlineStr">
        <is>
          <t>Fechada</t>
        </is>
      </c>
      <c r="H110" s="5" t="n">
        <v>45692.24930555555</v>
      </c>
    </row>
    <row r="111">
      <c r="A111" t="inlineStr">
        <is>
          <t>OS-1609</t>
        </is>
      </c>
      <c r="B111" t="inlineStr">
        <is>
          <t>Válvula T-13 não fecha por completo</t>
        </is>
      </c>
      <c r="C111" t="inlineStr">
        <is>
          <t>Válvula T-13 com passagem residual mesmo totalmente fechada. Possível desgaste da sede.</t>
        </is>
      </c>
      <c r="D111" t="inlineStr">
        <is>
          <t>Base Operacional Serra</t>
        </is>
      </c>
      <c r="E111" t="inlineStr">
        <is>
          <t>Baixa</t>
        </is>
      </c>
      <c r="F111" t="inlineStr">
        <is>
          <t>Natália Cordeiro</t>
        </is>
      </c>
      <c r="G111" t="inlineStr">
        <is>
          <t>Fechada</t>
        </is>
      </c>
      <c r="H111" s="5" t="n">
        <v>45692.56041666667</v>
      </c>
    </row>
    <row r="112">
      <c r="A112" t="inlineStr">
        <is>
          <t>OS-1610</t>
        </is>
      </c>
      <c r="B112" t="inlineStr">
        <is>
          <t>Sensor de nível sem leitura no tanque P-15</t>
        </is>
      </c>
      <c r="C112" t="inlineStr">
        <is>
          <t>Supervisório mostra leitura congelada do sensor de nível do tanque P-15.</t>
        </is>
      </c>
      <c r="D112" t="inlineStr">
        <is>
          <t>Base Operacional Sul</t>
        </is>
      </c>
      <c r="E112" t="inlineStr">
        <is>
          <t>Média</t>
        </is>
      </c>
      <c r="F112" t="inlineStr">
        <is>
          <t>Ingrid Queiroz</t>
        </is>
      </c>
      <c r="G112" t="inlineStr">
        <is>
          <t>Fechada</t>
        </is>
      </c>
      <c r="H112" s="5" t="n">
        <v>45692.87847222222</v>
      </c>
    </row>
    <row r="113">
      <c r="A113" t="inlineStr">
        <is>
          <t>OS-1611</t>
        </is>
      </c>
      <c r="B113" t="inlineStr">
        <is>
          <t>Ruído anormal no motor C-12</t>
        </is>
      </c>
      <c r="C113" t="inlineStr">
        <is>
          <t>Ruído intermitente no motor C-12 durante a partida. Temperatura normal ao toque.</t>
        </is>
      </c>
      <c r="D113" t="inlineStr">
        <is>
          <t>Estação Elevatória Leste</t>
        </is>
      </c>
      <c r="E113" t="inlineStr">
        <is>
          <t>Média</t>
        </is>
      </c>
      <c r="F113" t="inlineStr">
        <is>
          <t>Igor Fonseca</t>
        </is>
      </c>
      <c r="G113" t="inlineStr">
        <is>
          <t>Fechada</t>
        </is>
      </c>
      <c r="H113" s="5" t="n">
        <v>45693.17152777778</v>
      </c>
    </row>
    <row r="114">
      <c r="A114" t="inlineStr">
        <is>
          <t>OS-1612</t>
        </is>
      </c>
      <c r="B114" t="inlineStr">
        <is>
          <t>Tomada sem energia na sala F-38</t>
        </is>
      </c>
      <c r="C114" t="inlineStr">
        <is>
          <t>Tomada de serviço da sala F-38 sem tensão.</t>
        </is>
      </c>
      <c r="D114" t="inlineStr">
        <is>
          <t>Estação de Bombeamento Vila Nova</t>
        </is>
      </c>
      <c r="E114" t="inlineStr">
        <is>
          <t>Crítica</t>
        </is>
      </c>
      <c r="F114" t="inlineStr">
        <is>
          <t>Natália Cordeiro</t>
        </is>
      </c>
      <c r="G114" t="inlineStr">
        <is>
          <t>Fechada</t>
        </is>
      </c>
      <c r="H114" s="5" t="n">
        <v>45693.46805555555</v>
      </c>
    </row>
    <row r="115">
      <c r="A115" t="inlineStr">
        <is>
          <t>OS-1613</t>
        </is>
      </c>
      <c r="B115" t="inlineStr">
        <is>
          <t>Portão da área H-21 emperrado</t>
        </is>
      </c>
      <c r="C115" t="inlineStr">
        <is>
          <t>Portão de acesso da área H-21 exige força excessiva para abrir.</t>
        </is>
      </c>
      <c r="D115" t="inlineStr">
        <is>
          <t>ETE Jardim Bela Vista</t>
        </is>
      </c>
      <c r="E115" t="inlineStr">
        <is>
          <t>Alta</t>
        </is>
      </c>
      <c r="F115" t="inlineStr">
        <is>
          <t>Caio Rangel</t>
        </is>
      </c>
      <c r="G115" t="inlineStr">
        <is>
          <t>Fechada</t>
        </is>
      </c>
      <c r="H115" s="5" t="n">
        <v>45693.76666666667</v>
      </c>
    </row>
    <row r="116">
      <c r="A116" t="inlineStr">
        <is>
          <t>OS-1614</t>
        </is>
      </c>
      <c r="B116" t="inlineStr">
        <is>
          <t>Válvula G-37 não fecha por completo</t>
        </is>
      </c>
      <c r="C116" t="inlineStr">
        <is>
          <t>Válvula G-37 com passagem residual mesmo totalmente fechada. Possível desgaste da sede.</t>
        </is>
      </c>
      <c r="D116" t="inlineStr">
        <is>
          <t>Subestação Norte</t>
        </is>
      </c>
      <c r="E116" t="inlineStr">
        <is>
          <t>Baixa</t>
        </is>
      </c>
      <c r="F116" t="inlineStr">
        <is>
          <t>Wesley Cardoso</t>
        </is>
      </c>
      <c r="G116" t="inlineStr">
        <is>
          <t>Fechada</t>
        </is>
      </c>
      <c r="H116" s="5" t="n">
        <v>45694.10416666666</v>
      </c>
    </row>
    <row r="117">
      <c r="A117" t="inlineStr">
        <is>
          <t>OS-1615</t>
        </is>
      </c>
      <c r="B117" t="inlineStr">
        <is>
          <t>Portão da área M-38 emperrado</t>
        </is>
      </c>
      <c r="C117" t="inlineStr">
        <is>
          <t>Portão de acesso da área M-38 exige força excessiva para abrir.</t>
        </is>
      </c>
      <c r="D117" t="inlineStr">
        <is>
          <t>Subestação Leste</t>
        </is>
      </c>
      <c r="E117" t="inlineStr">
        <is>
          <t>Baixa</t>
        </is>
      </c>
      <c r="F117" t="inlineStr">
        <is>
          <t>Úrsula Maia</t>
        </is>
      </c>
      <c r="G117" t="inlineStr">
        <is>
          <t>Fechada</t>
        </is>
      </c>
      <c r="H117" s="5" t="n">
        <v>45694.39027777778</v>
      </c>
    </row>
    <row r="118">
      <c r="A118" t="inlineStr">
        <is>
          <t>OS-1616</t>
        </is>
      </c>
      <c r="B118" t="inlineStr">
        <is>
          <t>Portão da área E-14 emperrado</t>
        </is>
      </c>
      <c r="C118" t="inlineStr">
        <is>
          <t>Portão de acesso da área E-14 exige força excessiva para abrir.</t>
        </is>
      </c>
      <c r="D118" t="inlineStr">
        <is>
          <t>Galpão de Materiais</t>
        </is>
      </c>
      <c r="E118" t="inlineStr">
        <is>
          <t>Média</t>
        </is>
      </c>
      <c r="F118" t="inlineStr">
        <is>
          <t>Beatriz Farias</t>
        </is>
      </c>
      <c r="G118" t="inlineStr">
        <is>
          <t>Fechada</t>
        </is>
      </c>
      <c r="H118" s="5" t="n">
        <v>45694.69652777778</v>
      </c>
    </row>
    <row r="119">
      <c r="A119" t="inlineStr">
        <is>
          <t>OS-1617</t>
        </is>
      </c>
      <c r="B119" t="inlineStr">
        <is>
          <t>Medidor de vazão C-28 com leitura instável</t>
        </is>
      </c>
      <c r="C119" t="inlineStr">
        <is>
          <t>Medidor de vazão C-28 oscila sem variação de processo.</t>
        </is>
      </c>
      <c r="D119" t="inlineStr">
        <is>
          <t>Adutora Tronco Norte</t>
        </is>
      </c>
      <c r="E119" t="inlineStr">
        <is>
          <t>Baixa</t>
        </is>
      </c>
      <c r="F119" t="inlineStr">
        <is>
          <t>Úrsula Maia</t>
        </is>
      </c>
      <c r="G119" t="inlineStr">
        <is>
          <t>Fechada</t>
        </is>
      </c>
      <c r="H119" s="5" t="n">
        <v>45695.00833333333</v>
      </c>
    </row>
    <row r="120">
      <c r="A120" t="inlineStr">
        <is>
          <t>OS-1618</t>
        </is>
      </c>
      <c r="B120" t="inlineStr">
        <is>
          <t>Válvula D-01 não fecha por completo</t>
        </is>
      </c>
      <c r="C120" t="inlineStr">
        <is>
          <t>Válvula D-01 com passagem residual mesmo totalmente fechada. Possível desgaste da sede.</t>
        </is>
      </c>
      <c r="D120" t="inlineStr">
        <is>
          <t>Usina Fotovoltaica Planalto</t>
        </is>
      </c>
      <c r="E120" t="inlineStr">
        <is>
          <t>Média</t>
        </is>
      </c>
      <c r="F120" t="inlineStr">
        <is>
          <t>Priscila Guedes</t>
        </is>
      </c>
      <c r="G120" t="inlineStr">
        <is>
          <t>Fechada</t>
        </is>
      </c>
      <c r="H120" s="5" t="n">
        <v>45695.29444444444</v>
      </c>
    </row>
    <row r="121">
      <c r="A121" t="inlineStr">
        <is>
          <t>OS-1619</t>
        </is>
      </c>
      <c r="B121" t="inlineStr">
        <is>
          <t>Portão da área H-04 emperrado</t>
        </is>
      </c>
      <c r="C121" t="inlineStr">
        <is>
          <t>Portão de acesso da área H-04 exige força excessiva para abrir.</t>
        </is>
      </c>
      <c r="D121" t="inlineStr">
        <is>
          <t>Captação Lagoa Seca</t>
        </is>
      </c>
      <c r="E121" t="inlineStr">
        <is>
          <t>Média</t>
        </is>
      </c>
      <c r="F121" t="inlineStr">
        <is>
          <t>Cíntia Freitas</t>
        </is>
      </c>
      <c r="G121" t="inlineStr">
        <is>
          <t>Fechada</t>
        </is>
      </c>
      <c r="H121" s="5" t="n">
        <v>45695.61319444444</v>
      </c>
    </row>
    <row r="122">
      <c r="A122" t="inlineStr">
        <is>
          <t>OS-1620</t>
        </is>
      </c>
      <c r="B122" t="inlineStr">
        <is>
          <t>Aquecimento no mancal do motor M-36</t>
        </is>
      </c>
      <c r="C122" t="inlineStr">
        <is>
          <t>Mancal do motor M-36 acima da temperatura usual na medição com termômetro infravermelho.</t>
        </is>
      </c>
      <c r="D122" t="inlineStr">
        <is>
          <t>Reservatório Industrial</t>
        </is>
      </c>
      <c r="E122" t="inlineStr">
        <is>
          <t>Crítica</t>
        </is>
      </c>
      <c r="F122" t="inlineStr">
        <is>
          <t>Simone Carvalho</t>
        </is>
      </c>
      <c r="G122" t="inlineStr">
        <is>
          <t>Fechada</t>
        </is>
      </c>
      <c r="H122" s="5" t="n">
        <v>45695.94027777778</v>
      </c>
    </row>
    <row r="123">
      <c r="A123" t="inlineStr">
        <is>
          <t>OS-1621</t>
        </is>
      </c>
      <c r="B123" t="inlineStr">
        <is>
          <t>Aquecimento no mancal do motor R-19</t>
        </is>
      </c>
      <c r="C123" t="inlineStr">
        <is>
          <t>Mancal do motor R-19 acima da temperatura usual na medição com termômetro infravermelho.</t>
        </is>
      </c>
      <c r="D123" t="inlineStr">
        <is>
          <t>Laboratório de Controle</t>
        </is>
      </c>
      <c r="E123" t="inlineStr">
        <is>
          <t>Crítica</t>
        </is>
      </c>
      <c r="F123" t="inlineStr">
        <is>
          <t>Cíntia Freitas</t>
        </is>
      </c>
      <c r="G123" t="inlineStr">
        <is>
          <t>Fechada</t>
        </is>
      </c>
      <c r="H123" s="5" t="n">
        <v>45696.24583333333</v>
      </c>
    </row>
    <row r="124">
      <c r="A124" t="inlineStr">
        <is>
          <t>OS-1622</t>
        </is>
      </c>
      <c r="B124" t="inlineStr">
        <is>
          <t>Portão da área D-27 emperrado</t>
        </is>
      </c>
      <c r="C124" t="inlineStr">
        <is>
          <t>Portão de acesso da área D-27 exige força excessiva para abrir.</t>
        </is>
      </c>
      <c r="D124" t="inlineStr">
        <is>
          <t>Base Operacional Litoral</t>
        </is>
      </c>
      <c r="E124" t="inlineStr">
        <is>
          <t>Alta</t>
        </is>
      </c>
      <c r="F124" t="inlineStr">
        <is>
          <t>Hugo Albuquerque</t>
        </is>
      </c>
      <c r="G124" t="inlineStr">
        <is>
          <t>Fechada</t>
        </is>
      </c>
      <c r="H124" s="5" t="n">
        <v>45696.52777777778</v>
      </c>
    </row>
    <row r="125">
      <c r="A125" t="inlineStr">
        <is>
          <t>OS-1623</t>
        </is>
      </c>
      <c r="B125" t="inlineStr">
        <is>
          <t>Falha de comunicação no CLP E-07</t>
        </is>
      </c>
      <c r="C125" t="inlineStr">
        <is>
          <t>CLP E-07 perde comunicação com o supervisório em intervalos irregulares.</t>
        </is>
      </c>
      <c r="D125" t="inlineStr">
        <is>
          <t>Laboratório de Controle</t>
        </is>
      </c>
      <c r="E125" t="inlineStr">
        <is>
          <t>Baixa</t>
        </is>
      </c>
      <c r="F125" t="inlineStr">
        <is>
          <t>Érica Andrade</t>
        </is>
      </c>
      <c r="G125" t="inlineStr">
        <is>
          <t>Fechada</t>
        </is>
      </c>
      <c r="H125" s="5" t="n">
        <v>45696.825</v>
      </c>
    </row>
    <row r="126">
      <c r="A126" t="inlineStr">
        <is>
          <t>OS-1624</t>
        </is>
      </c>
      <c r="B126" t="inlineStr">
        <is>
          <t>Troca de filtro do compressor R-08</t>
        </is>
      </c>
      <c r="C126" t="inlineStr">
        <is>
          <t>Filtro de ar do compressor R-08 saturado. Substituição preventiva.</t>
        </is>
      </c>
      <c r="D126" t="inlineStr">
        <is>
          <t>ETA Ribeirão Fundo</t>
        </is>
      </c>
      <c r="E126" t="inlineStr">
        <is>
          <t>Baixa</t>
        </is>
      </c>
      <c r="F126" t="inlineStr">
        <is>
          <t>Wesley Cardoso</t>
        </is>
      </c>
      <c r="G126" t="inlineStr">
        <is>
          <t>Fechada</t>
        </is>
      </c>
      <c r="H126" s="5" t="n">
        <v>45697.16111111111</v>
      </c>
    </row>
    <row r="127">
      <c r="A127" t="inlineStr">
        <is>
          <t>OS-1625</t>
        </is>
      </c>
      <c r="B127" t="inlineStr">
        <is>
          <t>Vazamento de óleo no redutor A-11</t>
        </is>
      </c>
      <c r="C127" t="inlineStr">
        <is>
          <t>Gotejamento de óleo no redutor A-11. Nível ainda dentro da faixa.</t>
        </is>
      </c>
      <c r="D127" t="inlineStr">
        <is>
          <t>ETA Central</t>
        </is>
      </c>
      <c r="E127" t="inlineStr">
        <is>
          <t>Baixa</t>
        </is>
      </c>
      <c r="F127" t="inlineStr">
        <is>
          <t>Natália Cordeiro</t>
        </is>
      </c>
      <c r="G127" t="inlineStr">
        <is>
          <t>Fechada</t>
        </is>
      </c>
      <c r="H127" s="5" t="n">
        <v>45697.42916666667</v>
      </c>
    </row>
    <row r="128">
      <c r="A128" t="inlineStr">
        <is>
          <t>OS-1626</t>
        </is>
      </c>
      <c r="B128" t="inlineStr">
        <is>
          <t>Aquecimento no mancal do motor C-17</t>
        </is>
      </c>
      <c r="C128" t="inlineStr">
        <is>
          <t>Mancal do motor C-17 acima da temperatura usual na medição com termômetro infravermelho.</t>
        </is>
      </c>
      <c r="D128" t="inlineStr">
        <is>
          <t>Oficina Elétrica Central</t>
        </is>
      </c>
      <c r="E128" t="inlineStr">
        <is>
          <t>Alta</t>
        </is>
      </c>
      <c r="F128" t="inlineStr">
        <is>
          <t>Úrsula Maia</t>
        </is>
      </c>
      <c r="G128" t="inlineStr">
        <is>
          <t>Fechada</t>
        </is>
      </c>
      <c r="H128" s="5" t="n">
        <v>45697.73611111111</v>
      </c>
    </row>
    <row r="129">
      <c r="A129" t="inlineStr">
        <is>
          <t>OS-1627</t>
        </is>
      </c>
      <c r="B129" t="inlineStr">
        <is>
          <t>Troca de filtro do compressor V-37</t>
        </is>
      </c>
      <c r="C129" t="inlineStr">
        <is>
          <t>Filtro de ar do compressor V-37 saturado. Substituição preventiva.</t>
        </is>
      </c>
      <c r="D129" t="inlineStr">
        <is>
          <t>Booster Parque das Águas</t>
        </is>
      </c>
      <c r="E129" t="inlineStr">
        <is>
          <t>Média</t>
        </is>
      </c>
      <c r="F129" t="inlineStr">
        <is>
          <t>Gabriel Matos</t>
        </is>
      </c>
      <c r="G129" t="inlineStr">
        <is>
          <t>Fechada</t>
        </is>
      </c>
      <c r="H129" s="5" t="n">
        <v>45698.07013888889</v>
      </c>
    </row>
    <row r="130">
      <c r="A130" t="inlineStr">
        <is>
          <t>OS-1628</t>
        </is>
      </c>
      <c r="B130" t="inlineStr">
        <is>
          <t>Aquecimento no mancal do motor H-19</t>
        </is>
      </c>
      <c r="C130" t="inlineStr">
        <is>
          <t>Mancal do motor H-19 acima da temperatura usual na medição com termômetro infravermelho.</t>
        </is>
      </c>
      <c r="D130" t="inlineStr">
        <is>
          <t>Usina Fotovoltaica Planalto</t>
        </is>
      </c>
      <c r="E130" t="inlineStr">
        <is>
          <t>Baixa</t>
        </is>
      </c>
      <c r="F130" t="inlineStr">
        <is>
          <t>Otávio Lacerda</t>
        </is>
      </c>
      <c r="G130" t="inlineStr">
        <is>
          <t>Fechada</t>
        </is>
      </c>
      <c r="H130" s="5" t="n">
        <v>45698.36597222222</v>
      </c>
    </row>
    <row r="131">
      <c r="A131" t="inlineStr">
        <is>
          <t>OS-1629</t>
        </is>
      </c>
      <c r="B131" t="inlineStr">
        <is>
          <t>Pintura descascada na estrutura H-40</t>
        </is>
      </c>
      <c r="C131" t="inlineStr">
        <is>
          <t>Estrutura metálica H-40 com pontos de corrosão sob a pintura.</t>
        </is>
      </c>
      <c r="D131" t="inlineStr">
        <is>
          <t>Reservatório Industrial</t>
        </is>
      </c>
      <c r="E131" t="inlineStr">
        <is>
          <t>Alta</t>
        </is>
      </c>
      <c r="F131" t="inlineStr">
        <is>
          <t>Ingrid Queiroz</t>
        </is>
      </c>
      <c r="G131" t="inlineStr">
        <is>
          <t>Fechada</t>
        </is>
      </c>
      <c r="H131" s="5" t="n">
        <v>45698.64722222222</v>
      </c>
    </row>
    <row r="132">
      <c r="A132" t="inlineStr">
        <is>
          <t>OS-1630</t>
        </is>
      </c>
      <c r="B132" t="inlineStr">
        <is>
          <t>Portão da área F-25 emperrado</t>
        </is>
      </c>
      <c r="C132" t="inlineStr">
        <is>
          <t>Portão de acesso da área F-25 exige força excessiva para abrir.</t>
        </is>
      </c>
      <c r="D132" t="inlineStr">
        <is>
          <t>Oficina Mecânica Central</t>
        </is>
      </c>
      <c r="E132" t="inlineStr">
        <is>
          <t>Média</t>
        </is>
      </c>
      <c r="F132" t="inlineStr">
        <is>
          <t>Priscila Guedes</t>
        </is>
      </c>
      <c r="G132" t="inlineStr">
        <is>
          <t>Fechada</t>
        </is>
      </c>
      <c r="H132" s="5" t="n">
        <v>45698.96458333333</v>
      </c>
    </row>
    <row r="133">
      <c r="A133" t="inlineStr">
        <is>
          <t>OS-1631</t>
        </is>
      </c>
      <c r="B133" t="inlineStr">
        <is>
          <t>Vazamento na bomba G-01</t>
        </is>
      </c>
      <c r="C133" t="inlineStr">
        <is>
          <t>Vazamento pelo selo mecânico da bomba G-01. Piso molhado ao redor da base.</t>
        </is>
      </c>
      <c r="D133" t="inlineStr">
        <is>
          <t>Subestação Norte</t>
        </is>
      </c>
      <c r="E133" t="inlineStr">
        <is>
          <t>Baixa</t>
        </is>
      </c>
      <c r="F133" t="inlineStr">
        <is>
          <t>Aline Rocha</t>
        </is>
      </c>
      <c r="G133" t="inlineStr">
        <is>
          <t>Fechada</t>
        </is>
      </c>
      <c r="H133" s="5" t="n">
        <v>45699.27916666667</v>
      </c>
    </row>
    <row r="134">
      <c r="A134" t="inlineStr">
        <is>
          <t>OS-1632</t>
        </is>
      </c>
      <c r="B134" t="inlineStr">
        <is>
          <t>Vazamento na bomba C-14</t>
        </is>
      </c>
      <c r="C134" t="inlineStr">
        <is>
          <t>Vazamento pelo selo mecânico da bomba C-14. Piso molhado ao redor da base.</t>
        </is>
      </c>
      <c r="D134" t="inlineStr">
        <is>
          <t>Estação de Bombeamento Três Pontes</t>
        </is>
      </c>
      <c r="E134" t="inlineStr">
        <is>
          <t>Baixa</t>
        </is>
      </c>
      <c r="F134" t="inlineStr">
        <is>
          <t>Gabriel Matos</t>
        </is>
      </c>
      <c r="G134" t="inlineStr">
        <is>
          <t>Fechada</t>
        </is>
      </c>
      <c r="H134" s="5" t="n">
        <v>45699.56875</v>
      </c>
    </row>
    <row r="135">
      <c r="A135" t="inlineStr">
        <is>
          <t>OS-1633</t>
        </is>
      </c>
      <c r="B135" t="inlineStr">
        <is>
          <t>Disjuntor desarmando no painel D-16</t>
        </is>
      </c>
      <c r="C135" t="inlineStr">
        <is>
          <t>Disjuntor do painel D-16 desarmou três vezes no turno. Carga dentro do nominal.</t>
        </is>
      </c>
      <c r="D135" t="inlineStr">
        <is>
          <t>ETE Rio Claro</t>
        </is>
      </c>
      <c r="E135" t="inlineStr">
        <is>
          <t>Média</t>
        </is>
      </c>
      <c r="F135" t="inlineStr">
        <is>
          <t>Daniela Pires</t>
        </is>
      </c>
      <c r="G135" t="inlineStr">
        <is>
          <t>Fechada</t>
        </is>
      </c>
      <c r="H135" s="5" t="n">
        <v>45699.88055555556</v>
      </c>
    </row>
    <row r="136">
      <c r="A136" t="inlineStr">
        <is>
          <t>OS-1634</t>
        </is>
      </c>
      <c r="B136" t="inlineStr">
        <is>
          <t>Calha entupida no prédio P-16</t>
        </is>
      </c>
      <c r="C136" t="inlineStr">
        <is>
          <t>Calha do prédio P-16 transbordando em dia de chuva.</t>
        </is>
      </c>
      <c r="D136" t="inlineStr">
        <is>
          <t>ETE Rio Claro</t>
        </is>
      </c>
      <c r="E136" t="inlineStr">
        <is>
          <t>Baixa</t>
        </is>
      </c>
      <c r="F136" t="inlineStr">
        <is>
          <t>Aline Rocha</t>
        </is>
      </c>
      <c r="G136" t="inlineStr">
        <is>
          <t>Fechada</t>
        </is>
      </c>
      <c r="H136" s="5" t="n">
        <v>45700.17569444444</v>
      </c>
    </row>
    <row r="137">
      <c r="A137" t="inlineStr">
        <is>
          <t>OS-1635</t>
        </is>
      </c>
      <c r="B137" t="inlineStr">
        <is>
          <t>Infiltração na parede da casa de bombas E-26</t>
        </is>
      </c>
      <c r="C137" t="inlineStr">
        <is>
          <t>Mancha de umidade crescente na parede da casa de bombas E-26.</t>
        </is>
      </c>
      <c r="D137" t="inlineStr">
        <is>
          <t>Estação de Bombeamento Vila Nova</t>
        </is>
      </c>
      <c r="E137" t="inlineStr">
        <is>
          <t>Baixa</t>
        </is>
      </c>
      <c r="F137" t="inlineStr">
        <is>
          <t>Bernardo Leal</t>
        </is>
      </c>
      <c r="G137" t="inlineStr">
        <is>
          <t>Fechada</t>
        </is>
      </c>
      <c r="H137" s="5" t="n">
        <v>45700.50625</v>
      </c>
    </row>
    <row r="138">
      <c r="A138" t="inlineStr">
        <is>
          <t>OS-1636</t>
        </is>
      </c>
      <c r="B138" t="inlineStr">
        <is>
          <t>Medidor de vazão P-04 com leitura instável</t>
        </is>
      </c>
      <c r="C138" t="inlineStr">
        <is>
          <t>Medidor de vazão P-04 oscila sem variação de processo.</t>
        </is>
      </c>
      <c r="D138" t="inlineStr">
        <is>
          <t>Base Operacional Norte</t>
        </is>
      </c>
      <c r="E138" t="inlineStr">
        <is>
          <t>Baixa</t>
        </is>
      </c>
      <c r="F138" t="inlineStr">
        <is>
          <t>Eduardo Salles</t>
        </is>
      </c>
      <c r="G138" t="inlineStr">
        <is>
          <t>Fechada</t>
        </is>
      </c>
      <c r="H138" s="5" t="n">
        <v>45700.81527777778</v>
      </c>
    </row>
    <row r="139">
      <c r="A139" t="inlineStr">
        <is>
          <t>OS-1637</t>
        </is>
      </c>
      <c r="B139" t="inlineStr">
        <is>
          <t>Medidor de vazão D-02 com leitura instável</t>
        </is>
      </c>
      <c r="C139" t="inlineStr">
        <is>
          <t>Medidor de vazão D-02 oscila sem variação de processo.</t>
        </is>
      </c>
      <c r="D139" t="inlineStr">
        <is>
          <t>Base Operacional Sul</t>
        </is>
      </c>
      <c r="E139" t="inlineStr">
        <is>
          <t>Baixa</t>
        </is>
      </c>
      <c r="F139" t="inlineStr">
        <is>
          <t>Rafael Torres</t>
        </is>
      </c>
      <c r="G139" t="inlineStr">
        <is>
          <t>Fechada</t>
        </is>
      </c>
      <c r="H139" s="5" t="n">
        <v>45701.09861111111</v>
      </c>
    </row>
    <row r="140">
      <c r="A140" t="inlineStr">
        <is>
          <t>OS-1638</t>
        </is>
      </c>
      <c r="B140" t="inlineStr">
        <is>
          <t>Correia do ventilador G-21 desgastada</t>
        </is>
      </c>
      <c r="C140" t="inlineStr">
        <is>
          <t>Correia do ventilador G-21 com trincas visíveis e folga excessiva.</t>
        </is>
      </c>
      <c r="D140" t="inlineStr">
        <is>
          <t>Base Operacional Sul</t>
        </is>
      </c>
      <c r="E140" t="inlineStr">
        <is>
          <t>Alta</t>
        </is>
      </c>
      <c r="F140" t="inlineStr">
        <is>
          <t>Yara Medeiros</t>
        </is>
      </c>
      <c r="G140" t="inlineStr">
        <is>
          <t>Fechada</t>
        </is>
      </c>
      <c r="H140" s="5" t="n">
        <v>45701.39791666667</v>
      </c>
    </row>
    <row r="141">
      <c r="A141" t="inlineStr">
        <is>
          <t>OS-1639</t>
        </is>
      </c>
      <c r="B141" t="inlineStr">
        <is>
          <t>Calha entupida no prédio H-28</t>
        </is>
      </c>
      <c r="C141" t="inlineStr">
        <is>
          <t>Calha do prédio H-28 transbordando em dia de chuva.</t>
        </is>
      </c>
      <c r="D141" t="inlineStr">
        <is>
          <t>Base Operacional Sul</t>
        </is>
      </c>
      <c r="E141" t="inlineStr">
        <is>
          <t>Média</t>
        </is>
      </c>
      <c r="F141" t="inlineStr">
        <is>
          <t>Otávio Lacerda</t>
        </is>
      </c>
      <c r="G141" t="inlineStr">
        <is>
          <t>Fechada</t>
        </is>
      </c>
      <c r="H141" s="5" t="n">
        <v>45701.70972222222</v>
      </c>
    </row>
    <row r="142">
      <c r="A142" t="inlineStr">
        <is>
          <t>OS-1640</t>
        </is>
      </c>
      <c r="B142" t="inlineStr">
        <is>
          <t>Portão da área P-36 emperrado</t>
        </is>
      </c>
      <c r="C142" t="inlineStr">
        <is>
          <t>Portão de acesso da área P-36 exige força excessiva para abrir.</t>
        </is>
      </c>
      <c r="D142" t="inlineStr">
        <is>
          <t>ETA Ribeirão Fundo</t>
        </is>
      </c>
      <c r="E142" t="inlineStr">
        <is>
          <t>Crítica</t>
        </is>
      </c>
      <c r="F142" t="inlineStr">
        <is>
          <t>Natália Cordeiro</t>
        </is>
      </c>
      <c r="G142" t="inlineStr">
        <is>
          <t>Fechada</t>
        </is>
      </c>
      <c r="H142" s="5" t="n">
        <v>45702.01527777778</v>
      </c>
    </row>
    <row r="143">
      <c r="A143" t="inlineStr">
        <is>
          <t>OS-1641</t>
        </is>
      </c>
      <c r="B143" t="inlineStr">
        <is>
          <t>Infiltração na parede da casa de bombas G-05</t>
        </is>
      </c>
      <c r="C143" t="inlineStr">
        <is>
          <t>Mancha de umidade crescente na parede da casa de bombas G-05.</t>
        </is>
      </c>
      <c r="D143" t="inlineStr">
        <is>
          <t>Galpão de Materiais</t>
        </is>
      </c>
      <c r="E143" t="inlineStr">
        <is>
          <t>Média</t>
        </is>
      </c>
      <c r="F143" t="inlineStr">
        <is>
          <t>Cíntia Freitas</t>
        </is>
      </c>
      <c r="G143" t="inlineStr">
        <is>
          <t>Fechada</t>
        </is>
      </c>
      <c r="H143" s="5" t="n">
        <v>45702.33333333334</v>
      </c>
    </row>
    <row r="144">
      <c r="A144" t="inlineStr">
        <is>
          <t>OS-1642</t>
        </is>
      </c>
      <c r="B144" t="inlineStr">
        <is>
          <t>Falha de comunicação no CLP F-19</t>
        </is>
      </c>
      <c r="C144" t="inlineStr">
        <is>
          <t>CLP F-19 perde comunicação com o supervisório em intervalos irregulares.</t>
        </is>
      </c>
      <c r="D144" t="inlineStr">
        <is>
          <t>Usina Fotovoltaica Cerrado</t>
        </is>
      </c>
      <c r="E144" t="inlineStr">
        <is>
          <t>Alta</t>
        </is>
      </c>
      <c r="F144" t="inlineStr">
        <is>
          <t>Marcos Vinícius Rocha</t>
        </is>
      </c>
      <c r="G144" t="inlineStr">
        <is>
          <t>Fechada</t>
        </is>
      </c>
      <c r="H144" s="5" t="n">
        <v>45702.62291666667</v>
      </c>
    </row>
    <row r="145">
      <c r="A145" t="inlineStr">
        <is>
          <t>OS-1643</t>
        </is>
      </c>
      <c r="B145" t="inlineStr">
        <is>
          <t>Sensor de nível sem leitura no tanque R-19</t>
        </is>
      </c>
      <c r="C145" t="inlineStr">
        <is>
          <t>Supervisório mostra leitura congelada do sensor de nível do tanque R-19.</t>
        </is>
      </c>
      <c r="D145" t="inlineStr">
        <is>
          <t>Reservatório Alto da Colina</t>
        </is>
      </c>
      <c r="E145" t="inlineStr">
        <is>
          <t>Baixa</t>
        </is>
      </c>
      <c r="F145" t="inlineStr">
        <is>
          <t>Priscila Guedes</t>
        </is>
      </c>
      <c r="G145" t="inlineStr">
        <is>
          <t>Fechada</t>
        </is>
      </c>
      <c r="H145" s="5" t="n">
        <v>45702.92708333334</v>
      </c>
    </row>
    <row r="146">
      <c r="A146" t="inlineStr">
        <is>
          <t>OS-1644</t>
        </is>
      </c>
      <c r="B146" t="inlineStr">
        <is>
          <t>Portão da área R-20 emperrado</t>
        </is>
      </c>
      <c r="C146" t="inlineStr">
        <is>
          <t>Portão de acesso da área R-20 exige força excessiva para abrir.</t>
        </is>
      </c>
      <c r="D146" t="inlineStr">
        <is>
          <t>ETA Ribeirão Fundo</t>
        </is>
      </c>
      <c r="E146" t="inlineStr">
        <is>
          <t>Baixa</t>
        </is>
      </c>
      <c r="F146" t="inlineStr">
        <is>
          <t>Hugo Albuquerque</t>
        </is>
      </c>
      <c r="G146" t="inlineStr">
        <is>
          <t>Fechada</t>
        </is>
      </c>
      <c r="H146" s="5" t="n">
        <v>45703.22569444445</v>
      </c>
    </row>
    <row r="147">
      <c r="A147" t="inlineStr">
        <is>
          <t>OS-1645</t>
        </is>
      </c>
      <c r="B147" t="inlineStr">
        <is>
          <t>Falha de comunicação no CLP M-11</t>
        </is>
      </c>
      <c r="C147" t="inlineStr">
        <is>
          <t>CLP M-11 perde comunicação com o supervisório em intervalos irregulares.</t>
        </is>
      </c>
      <c r="D147" t="inlineStr">
        <is>
          <t>Subestação Norte</t>
        </is>
      </c>
      <c r="E147" t="inlineStr">
        <is>
          <t>Baixa</t>
        </is>
      </c>
      <c r="F147" t="inlineStr">
        <is>
          <t>Heloísa Barreto</t>
        </is>
      </c>
      <c r="G147" t="inlineStr">
        <is>
          <t>Fechada</t>
        </is>
      </c>
      <c r="H147" s="5" t="n">
        <v>45703.53888888889</v>
      </c>
    </row>
    <row r="148">
      <c r="A148" t="inlineStr">
        <is>
          <t>OS-1646</t>
        </is>
      </c>
      <c r="B148" t="inlineStr">
        <is>
          <t>Aquecimento no mancal do motor T-14</t>
        </is>
      </c>
      <c r="C148" t="inlineStr">
        <is>
          <t>Mancal do motor T-14 acima da temperatura usual na medição com termômetro infravermelho.</t>
        </is>
      </c>
      <c r="D148" t="inlineStr">
        <is>
          <t>Laboratório de Controle</t>
        </is>
      </c>
      <c r="E148" t="inlineStr">
        <is>
          <t>Baixa</t>
        </is>
      </c>
      <c r="F148" t="inlineStr">
        <is>
          <t>Kleber Antunes</t>
        </is>
      </c>
      <c r="G148" t="inlineStr">
        <is>
          <t>Fechada</t>
        </is>
      </c>
      <c r="H148" s="5" t="n">
        <v>45703.83472222222</v>
      </c>
    </row>
    <row r="149">
      <c r="A149" t="inlineStr">
        <is>
          <t>OS-1647</t>
        </is>
      </c>
      <c r="B149" t="inlineStr">
        <is>
          <t>Vazamento na bomba E-03</t>
        </is>
      </c>
      <c r="C149" t="inlineStr">
        <is>
          <t>Vazamento pelo selo mecânico da bomba E-03. Piso molhado ao redor da base.</t>
        </is>
      </c>
      <c r="D149" t="inlineStr">
        <is>
          <t>Adutora Tronco Norte</t>
        </is>
      </c>
      <c r="E149" t="inlineStr">
        <is>
          <t>Média</t>
        </is>
      </c>
      <c r="F149" t="inlineStr">
        <is>
          <t>Eduardo Salles</t>
        </is>
      </c>
      <c r="G149" t="inlineStr">
        <is>
          <t>Fechada</t>
        </is>
      </c>
      <c r="H149" s="5" t="n">
        <v>45704.16041666667</v>
      </c>
    </row>
    <row r="150">
      <c r="A150" t="inlineStr">
        <is>
          <t>OS-1648</t>
        </is>
      </c>
      <c r="B150" t="inlineStr">
        <is>
          <t>Tomada sem energia na sala H-27</t>
        </is>
      </c>
      <c r="C150" t="inlineStr">
        <is>
          <t>Tomada de serviço da sala H-27 sem tensão.</t>
        </is>
      </c>
      <c r="D150" t="inlineStr">
        <is>
          <t>Booster Parque das Águas</t>
        </is>
      </c>
      <c r="E150" t="inlineStr">
        <is>
          <t>Média</t>
        </is>
      </c>
      <c r="F150" t="inlineStr">
        <is>
          <t>Vagner Pacheco</t>
        </is>
      </c>
      <c r="G150" t="inlineStr">
        <is>
          <t>Fechada</t>
        </is>
      </c>
      <c r="H150" s="5" t="n">
        <v>45704.47638888889</v>
      </c>
    </row>
    <row r="151">
      <c r="A151" t="inlineStr">
        <is>
          <t>OS-1649</t>
        </is>
      </c>
      <c r="B151" t="inlineStr">
        <is>
          <t>Válvula V-27 não fecha por completo</t>
        </is>
      </c>
      <c r="C151" t="inlineStr">
        <is>
          <t>Válvula V-27 com passagem residual mesmo totalmente fechada. Possível desgaste da sede.</t>
        </is>
      </c>
      <c r="D151" t="inlineStr">
        <is>
          <t>Estação Elevatória Oeste</t>
        </is>
      </c>
      <c r="E151" t="inlineStr">
        <is>
          <t>Média</t>
        </is>
      </c>
      <c r="F151" t="inlineStr">
        <is>
          <t>Larissa Bezerra</t>
        </is>
      </c>
      <c r="G151" t="inlineStr">
        <is>
          <t>Fechada</t>
        </is>
      </c>
      <c r="H151" s="5" t="n">
        <v>45704.76388888889</v>
      </c>
    </row>
    <row r="152">
      <c r="A152" t="inlineStr">
        <is>
          <t>OS-1650</t>
        </is>
      </c>
      <c r="B152" t="inlineStr">
        <is>
          <t>Medidor de vazão A-34 com leitura instável</t>
        </is>
      </c>
      <c r="C152" t="inlineStr">
        <is>
          <t>Medidor de vazão A-34 oscila sem variação de processo.</t>
        </is>
      </c>
      <c r="D152" t="inlineStr">
        <is>
          <t>Galpão de Materiais</t>
        </is>
      </c>
      <c r="E152" t="inlineStr">
        <is>
          <t>Baixa</t>
        </is>
      </c>
      <c r="F152" t="inlineStr">
        <is>
          <t>Kleber Antunes</t>
        </is>
      </c>
      <c r="G152" t="inlineStr">
        <is>
          <t>Fechada</t>
        </is>
      </c>
      <c r="H152" s="5" t="n">
        <v>45705.07291666666</v>
      </c>
    </row>
    <row r="153">
      <c r="A153" t="inlineStr">
        <is>
          <t>OS-1651</t>
        </is>
      </c>
      <c r="B153" t="inlineStr">
        <is>
          <t>Disjuntor desarmando no painel T-21</t>
        </is>
      </c>
      <c r="C153" t="inlineStr">
        <is>
          <t>Disjuntor do painel T-21 desarmou três vezes no turno. Carga dentro do nominal.</t>
        </is>
      </c>
      <c r="D153" t="inlineStr">
        <is>
          <t>Adutora Tronco Norte</t>
        </is>
      </c>
      <c r="E153" t="inlineStr">
        <is>
          <t>Média</t>
        </is>
      </c>
      <c r="F153" t="inlineStr">
        <is>
          <t>Glória Sampaio</t>
        </is>
      </c>
      <c r="G153" t="inlineStr">
        <is>
          <t>Fechada</t>
        </is>
      </c>
      <c r="H153" s="5" t="n">
        <v>45705.39652777778</v>
      </c>
    </row>
    <row r="154">
      <c r="A154" t="inlineStr">
        <is>
          <t>OS-1652</t>
        </is>
      </c>
      <c r="B154" t="inlineStr">
        <is>
          <t>Disjuntor desarmando no painel D-32</t>
        </is>
      </c>
      <c r="C154" t="inlineStr">
        <is>
          <t>Disjuntor do painel D-32 desarmou três vezes no turno. Carga dentro do nominal.</t>
        </is>
      </c>
      <c r="D154" t="inlineStr">
        <is>
          <t>Adutora Tronco Norte</t>
        </is>
      </c>
      <c r="E154" t="inlineStr">
        <is>
          <t>Média</t>
        </is>
      </c>
      <c r="F154" t="inlineStr">
        <is>
          <t>Juliana Aguiar</t>
        </is>
      </c>
      <c r="G154" t="inlineStr">
        <is>
          <t>Fechada</t>
        </is>
      </c>
      <c r="H154" s="5" t="n">
        <v>45705.69583333333</v>
      </c>
    </row>
    <row r="155">
      <c r="A155" t="inlineStr">
        <is>
          <t>OS-1653</t>
        </is>
      </c>
      <c r="B155" t="inlineStr">
        <is>
          <t>Disjuntor desarmando no painel A-11</t>
        </is>
      </c>
      <c r="C155" t="inlineStr">
        <is>
          <t>Disjuntor do painel A-11 desarmou três vezes no turno. Carga dentro do nominal.</t>
        </is>
      </c>
      <c r="D155" t="inlineStr">
        <is>
          <t>ETE Vale do Sol</t>
        </is>
      </c>
      <c r="E155" t="inlineStr">
        <is>
          <t>Baixa</t>
        </is>
      </c>
      <c r="F155" t="inlineStr">
        <is>
          <t>Ingrid Queiroz</t>
        </is>
      </c>
      <c r="G155" t="inlineStr">
        <is>
          <t>Fechada</t>
        </is>
      </c>
      <c r="H155" s="5" t="n">
        <v>45705.97569444445</v>
      </c>
    </row>
    <row r="156">
      <c r="A156" t="inlineStr">
        <is>
          <t>OS-1654</t>
        </is>
      </c>
      <c r="B156" t="inlineStr">
        <is>
          <t>Troca de filtro do compressor P-35</t>
        </is>
      </c>
      <c r="C156" t="inlineStr">
        <is>
          <t>Filtro de ar do compressor P-35 saturado. Substituição preventiva.</t>
        </is>
      </c>
      <c r="D156" t="inlineStr">
        <is>
          <t>Base Operacional Serra</t>
        </is>
      </c>
      <c r="E156" t="inlineStr">
        <is>
          <t>Média</t>
        </is>
      </c>
      <c r="F156" t="inlineStr">
        <is>
          <t>Yara Medeiros</t>
        </is>
      </c>
      <c r="G156" t="inlineStr">
        <is>
          <t>Fechada</t>
        </is>
      </c>
      <c r="H156" s="5" t="n">
        <v>45706.31180555555</v>
      </c>
    </row>
    <row r="157">
      <c r="A157" t="inlineStr">
        <is>
          <t>OS-1655</t>
        </is>
      </c>
      <c r="B157" t="inlineStr">
        <is>
          <t>Vazamento na bomba P-35</t>
        </is>
      </c>
      <c r="C157" t="inlineStr">
        <is>
          <t>Vazamento pelo selo mecânico da bomba P-35. Piso molhado ao redor da base.</t>
        </is>
      </c>
      <c r="D157" t="inlineStr">
        <is>
          <t>ETE Vale do Sol</t>
        </is>
      </c>
      <c r="E157" t="inlineStr">
        <is>
          <t>Média</t>
        </is>
      </c>
      <c r="F157" t="inlineStr">
        <is>
          <t>Juliana Aguiar</t>
        </is>
      </c>
      <c r="G157" t="inlineStr">
        <is>
          <t>Fechada</t>
        </is>
      </c>
      <c r="H157" s="5" t="n">
        <v>45706.58263888889</v>
      </c>
    </row>
    <row r="158">
      <c r="A158" t="inlineStr">
        <is>
          <t>OS-1656</t>
        </is>
      </c>
      <c r="B158" t="inlineStr">
        <is>
          <t>Troca de filtro do compressor R-17</t>
        </is>
      </c>
      <c r="C158" t="inlineStr">
        <is>
          <t>Filtro de ar do compressor R-17 saturado. Substituição preventiva.</t>
        </is>
      </c>
      <c r="D158" t="inlineStr">
        <is>
          <t>Galpão de Materiais</t>
        </is>
      </c>
      <c r="E158" t="inlineStr">
        <is>
          <t>Média</t>
        </is>
      </c>
      <c r="F158" t="inlineStr">
        <is>
          <t>Vagner Pacheco</t>
        </is>
      </c>
      <c r="G158" t="inlineStr">
        <is>
          <t>Fechada</t>
        </is>
      </c>
      <c r="H158" s="5" t="n">
        <v>45706.92569444444</v>
      </c>
    </row>
    <row r="159">
      <c r="A159" t="inlineStr">
        <is>
          <t>OS-1657</t>
        </is>
      </c>
      <c r="B159" t="inlineStr">
        <is>
          <t>Exaustor C-20 parado</t>
        </is>
      </c>
      <c r="C159" t="inlineStr">
        <is>
          <t>Exaustor C-20 não parte. Fusível íntegro.</t>
        </is>
      </c>
      <c r="D159" t="inlineStr">
        <is>
          <t>Centro de Operações</t>
        </is>
      </c>
      <c r="E159" t="inlineStr">
        <is>
          <t>Média</t>
        </is>
      </c>
      <c r="F159" t="inlineStr">
        <is>
          <t>Juliana Aguiar</t>
        </is>
      </c>
      <c r="G159" t="inlineStr">
        <is>
          <t>Fechada</t>
        </is>
      </c>
      <c r="H159" s="5" t="n">
        <v>45707.20208333333</v>
      </c>
    </row>
    <row r="160">
      <c r="A160" t="inlineStr">
        <is>
          <t>OS-1658</t>
        </is>
      </c>
      <c r="B160" t="inlineStr">
        <is>
          <t>Tomada sem energia na sala E-12</t>
        </is>
      </c>
      <c r="C160" t="inlineStr">
        <is>
          <t>Tomada de serviço da sala E-12 sem tensão.</t>
        </is>
      </c>
      <c r="D160" t="inlineStr">
        <is>
          <t>Reservatório Industrial</t>
        </is>
      </c>
      <c r="E160" t="inlineStr">
        <is>
          <t>Baixa</t>
        </is>
      </c>
      <c r="F160" t="inlineStr">
        <is>
          <t>Danilo Peixoto</t>
        </is>
      </c>
      <c r="G160" t="inlineStr">
        <is>
          <t>Fechada</t>
        </is>
      </c>
      <c r="H160" s="5" t="n">
        <v>45707.50902777778</v>
      </c>
    </row>
    <row r="161">
      <c r="A161" t="inlineStr">
        <is>
          <t>OS-1659</t>
        </is>
      </c>
      <c r="B161" t="inlineStr">
        <is>
          <t>Aquecimento no mancal do motor P-20</t>
        </is>
      </c>
      <c r="C161" t="inlineStr">
        <is>
          <t>Mancal do motor P-20 acima da temperatura usual na medição com termômetro infravermelho.</t>
        </is>
      </c>
      <c r="D161" t="inlineStr">
        <is>
          <t>Base Operacional Norte</t>
        </is>
      </c>
      <c r="E161" t="inlineStr">
        <is>
          <t>Baixa</t>
        </is>
      </c>
      <c r="F161" t="inlineStr">
        <is>
          <t>Lívia Montenegro</t>
        </is>
      </c>
      <c r="G161" t="inlineStr">
        <is>
          <t>Fechada</t>
        </is>
      </c>
      <c r="H161" s="5" t="n">
        <v>45707.80972222222</v>
      </c>
    </row>
    <row r="162">
      <c r="A162" t="inlineStr">
        <is>
          <t>OS-1660</t>
        </is>
      </c>
      <c r="B162" t="inlineStr">
        <is>
          <t>Sensor de nível sem leitura no tanque F-38</t>
        </is>
      </c>
      <c r="C162" t="inlineStr">
        <is>
          <t>Supervisório mostra leitura congelada do sensor de nível do tanque F-38.</t>
        </is>
      </c>
      <c r="D162" t="inlineStr">
        <is>
          <t>Subestação Centro</t>
        </is>
      </c>
      <c r="E162" t="inlineStr">
        <is>
          <t>Média</t>
        </is>
      </c>
      <c r="F162" t="inlineStr">
        <is>
          <t>Jonas Teles</t>
        </is>
      </c>
      <c r="G162" t="inlineStr">
        <is>
          <t>Fechada</t>
        </is>
      </c>
      <c r="H162" s="5" t="n">
        <v>45708.11597222222</v>
      </c>
    </row>
    <row r="163">
      <c r="A163" t="inlineStr">
        <is>
          <t>OS-1661</t>
        </is>
      </c>
      <c r="B163" t="inlineStr">
        <is>
          <t>Tomada sem energia na sala V-06</t>
        </is>
      </c>
      <c r="C163" t="inlineStr">
        <is>
          <t>Tomada de serviço da sala V-06 sem tensão.</t>
        </is>
      </c>
      <c r="D163" t="inlineStr">
        <is>
          <t>Estação de Bombeamento Vila Nova</t>
        </is>
      </c>
      <c r="E163" t="inlineStr">
        <is>
          <t>Crítica</t>
        </is>
      </c>
      <c r="F163" t="inlineStr">
        <is>
          <t>Alex Nogueira</t>
        </is>
      </c>
      <c r="G163" t="inlineStr">
        <is>
          <t>Fechada</t>
        </is>
      </c>
      <c r="H163" s="5" t="n">
        <v>45708.44583333333</v>
      </c>
    </row>
    <row r="164">
      <c r="A164" t="inlineStr">
        <is>
          <t>OS-1662</t>
        </is>
      </c>
      <c r="B164" t="inlineStr">
        <is>
          <t>Correia do ventilador E-32 desgastada</t>
        </is>
      </c>
      <c r="C164" t="inlineStr">
        <is>
          <t>Correia do ventilador E-32 com trincas visíveis e folga excessiva.</t>
        </is>
      </c>
      <c r="D164" t="inlineStr">
        <is>
          <t>Base Operacional Sul</t>
        </is>
      </c>
      <c r="E164" t="inlineStr">
        <is>
          <t>Alta</t>
        </is>
      </c>
      <c r="F164" t="inlineStr">
        <is>
          <t>Flávio Gusmão</t>
        </is>
      </c>
      <c r="G164" t="inlineStr">
        <is>
          <t>Fechada</t>
        </is>
      </c>
      <c r="H164" s="5" t="n">
        <v>45708.74583333333</v>
      </c>
    </row>
    <row r="165">
      <c r="A165" t="inlineStr">
        <is>
          <t>OS-1663</t>
        </is>
      </c>
      <c r="B165" t="inlineStr">
        <is>
          <t>Ar-condicionado da sala V-20 sem refrigerar</t>
        </is>
      </c>
      <c r="C165" t="inlineStr">
        <is>
          <t>Ar-condicionado da sala de painéis V-20 ligado sem refrigerar.</t>
        </is>
      </c>
      <c r="D165" t="inlineStr">
        <is>
          <t>ETE Rio Claro</t>
        </is>
      </c>
      <c r="E165" t="inlineStr">
        <is>
          <t>Média</t>
        </is>
      </c>
      <c r="F165" t="inlineStr">
        <is>
          <t>Rafael Torres</t>
        </is>
      </c>
      <c r="G165" t="inlineStr">
        <is>
          <t>Fechada</t>
        </is>
      </c>
      <c r="H165" s="5" t="n">
        <v>45709.02569444444</v>
      </c>
    </row>
    <row r="166">
      <c r="A166" t="inlineStr">
        <is>
          <t>OS-1664</t>
        </is>
      </c>
      <c r="B166" t="inlineStr">
        <is>
          <t>Ar-condicionado da sala E-13 sem refrigerar</t>
        </is>
      </c>
      <c r="C166" t="inlineStr">
        <is>
          <t>Ar-condicionado da sala de painéis E-13 ligado sem refrigerar.</t>
        </is>
      </c>
      <c r="D166" t="inlineStr">
        <is>
          <t>Almoxarifado Central</t>
        </is>
      </c>
      <c r="E166" t="inlineStr">
        <is>
          <t>Baixa</t>
        </is>
      </c>
      <c r="F166" t="inlineStr">
        <is>
          <t>Yara Medeiros</t>
        </is>
      </c>
      <c r="G166" t="inlineStr">
        <is>
          <t>Fechada</t>
        </is>
      </c>
      <c r="H166" s="5" t="n">
        <v>45709.36527777778</v>
      </c>
    </row>
    <row r="167">
      <c r="A167" t="inlineStr">
        <is>
          <t>OS-1665</t>
        </is>
      </c>
      <c r="B167" t="inlineStr">
        <is>
          <t>Vazamento de óleo no redutor D-01</t>
        </is>
      </c>
      <c r="C167" t="inlineStr">
        <is>
          <t>Gotejamento de óleo no redutor D-01. Nível ainda dentro da faixa.</t>
        </is>
      </c>
      <c r="D167" t="inlineStr">
        <is>
          <t>Pátio de Veículos</t>
        </is>
      </c>
      <c r="E167" t="inlineStr">
        <is>
          <t>Baixa</t>
        </is>
      </c>
      <c r="F167" t="inlineStr">
        <is>
          <t>Marcos Vinícius Rocha</t>
        </is>
      </c>
      <c r="G167" t="inlineStr">
        <is>
          <t>Fechada</t>
        </is>
      </c>
      <c r="H167" s="5" t="n">
        <v>45709.64652777778</v>
      </c>
    </row>
    <row r="168">
      <c r="A168" t="inlineStr">
        <is>
          <t>OS-1666</t>
        </is>
      </c>
      <c r="B168" t="inlineStr">
        <is>
          <t>Portão da área G-40 emperrado</t>
        </is>
      </c>
      <c r="C168" t="inlineStr">
        <is>
          <t>Portão de acesso da área G-40 exige força excessiva para abrir.</t>
        </is>
      </c>
      <c r="D168" t="inlineStr">
        <is>
          <t>ETE Vale do Sol</t>
        </is>
      </c>
      <c r="E168" t="inlineStr">
        <is>
          <t>Baixa</t>
        </is>
      </c>
      <c r="F168" t="inlineStr">
        <is>
          <t>Daniela Pires</t>
        </is>
      </c>
      <c r="G168" t="inlineStr">
        <is>
          <t>Fechada</t>
        </is>
      </c>
      <c r="H168" s="5" t="n">
        <v>45709.95486111111</v>
      </c>
    </row>
    <row r="169">
      <c r="A169" t="inlineStr">
        <is>
          <t>OS-1667</t>
        </is>
      </c>
      <c r="B169" t="inlineStr">
        <is>
          <t>Ar-condicionado da sala E-11 sem refrigerar</t>
        </is>
      </c>
      <c r="C169" t="inlineStr">
        <is>
          <t>Ar-condicionado da sala de painéis E-11 ligado sem refrigerar.</t>
        </is>
      </c>
      <c r="D169" t="inlineStr">
        <is>
          <t>Oficina Mecânica Central</t>
        </is>
      </c>
      <c r="E169" t="inlineStr">
        <is>
          <t>Média</t>
        </is>
      </c>
      <c r="F169" t="inlineStr">
        <is>
          <t>Lívia Montenegro</t>
        </is>
      </c>
      <c r="G169" t="inlineStr">
        <is>
          <t>Fechada</t>
        </is>
      </c>
      <c r="H169" s="5" t="n">
        <v>45710.24583333333</v>
      </c>
    </row>
    <row r="170">
      <c r="A170" t="inlineStr">
        <is>
          <t>OS-1668</t>
        </is>
      </c>
      <c r="B170" t="inlineStr">
        <is>
          <t>Troca de filtro do compressor C-21</t>
        </is>
      </c>
      <c r="C170" t="inlineStr">
        <is>
          <t>Filtro de ar do compressor C-21 saturado. Substituição preventiva.</t>
        </is>
      </c>
      <c r="D170" t="inlineStr">
        <is>
          <t>Estação Elevatória Porto</t>
        </is>
      </c>
      <c r="E170" t="inlineStr">
        <is>
          <t>Alta</t>
        </is>
      </c>
      <c r="F170" t="inlineStr">
        <is>
          <t>Lívia Montenegro</t>
        </is>
      </c>
      <c r="G170" t="inlineStr">
        <is>
          <t>Fechada</t>
        </is>
      </c>
      <c r="H170" s="5" t="n">
        <v>45710.58333333334</v>
      </c>
    </row>
    <row r="171">
      <c r="A171" t="inlineStr">
        <is>
          <t>OS-1669</t>
        </is>
      </c>
      <c r="B171" t="inlineStr">
        <is>
          <t>Lâmpada queimada na área P-28</t>
        </is>
      </c>
      <c r="C171" t="inlineStr">
        <is>
          <t>Iluminação da área P-28 sem funcionar. Reposição de lâmpada e conferência do reator.</t>
        </is>
      </c>
      <c r="D171" t="inlineStr">
        <is>
          <t>Captação Rio Verde</t>
        </is>
      </c>
      <c r="E171" t="inlineStr">
        <is>
          <t>Média</t>
        </is>
      </c>
      <c r="F171" t="inlineStr">
        <is>
          <t>Úrsula Maia</t>
        </is>
      </c>
      <c r="G171" t="inlineStr">
        <is>
          <t>Fechada</t>
        </is>
      </c>
      <c r="H171" s="5" t="n">
        <v>45710.87916666667</v>
      </c>
    </row>
    <row r="172">
      <c r="A172" t="inlineStr">
        <is>
          <t>OS-1670</t>
        </is>
      </c>
      <c r="B172" t="inlineStr">
        <is>
          <t>Sensor de nível sem leitura no tanque V-36</t>
        </is>
      </c>
      <c r="C172" t="inlineStr">
        <is>
          <t>Supervisório mostra leitura congelada do sensor de nível do tanque V-36.</t>
        </is>
      </c>
      <c r="D172" t="inlineStr">
        <is>
          <t>Estação de Bombeamento Três Pontes</t>
        </is>
      </c>
      <c r="E172" t="inlineStr">
        <is>
          <t>Baixa</t>
        </is>
      </c>
      <c r="F172" t="inlineStr">
        <is>
          <t>Larissa Bezerra</t>
        </is>
      </c>
      <c r="G172" t="inlineStr">
        <is>
          <t>Fechada</t>
        </is>
      </c>
      <c r="H172" s="5" t="n">
        <v>45711.19027777778</v>
      </c>
    </row>
    <row r="173">
      <c r="A173" t="inlineStr">
        <is>
          <t>OS-1671</t>
        </is>
      </c>
      <c r="B173" t="inlineStr">
        <is>
          <t>Pintura descascada na estrutura T-31</t>
        </is>
      </c>
      <c r="C173" t="inlineStr">
        <is>
          <t>Estrutura metálica T-31 com pontos de corrosão sob a pintura.</t>
        </is>
      </c>
      <c r="D173" t="inlineStr">
        <is>
          <t>Reservatório Alto da Colina</t>
        </is>
      </c>
      <c r="E173" t="inlineStr">
        <is>
          <t>Baixa</t>
        </is>
      </c>
      <c r="F173" t="inlineStr">
        <is>
          <t>Murilo Paiva</t>
        </is>
      </c>
      <c r="G173" t="inlineStr">
        <is>
          <t>Fechada</t>
        </is>
      </c>
      <c r="H173" s="5" t="n">
        <v>45711.48680555556</v>
      </c>
    </row>
    <row r="174">
      <c r="A174" t="inlineStr">
        <is>
          <t>OS-1672</t>
        </is>
      </c>
      <c r="B174" t="inlineStr">
        <is>
          <t>Vazamento de óleo no redutor H-11</t>
        </is>
      </c>
      <c r="C174" t="inlineStr">
        <is>
          <t>Gotejamento de óleo no redutor H-11. Nível ainda dentro da faixa.</t>
        </is>
      </c>
      <c r="D174" t="inlineStr">
        <is>
          <t>Subestação Norte</t>
        </is>
      </c>
      <c r="E174" t="inlineStr">
        <is>
          <t>Baixa</t>
        </is>
      </c>
      <c r="F174" t="inlineStr">
        <is>
          <t>Juliana Aguiar</t>
        </is>
      </c>
      <c r="G174" t="inlineStr">
        <is>
          <t>Fechada</t>
        </is>
      </c>
      <c r="H174" s="5" t="n">
        <v>45711.77430555555</v>
      </c>
    </row>
    <row r="175">
      <c r="A175" t="inlineStr">
        <is>
          <t>OS-1673</t>
        </is>
      </c>
      <c r="B175" t="inlineStr">
        <is>
          <t>Sensor de nível sem leitura no tanque V-03</t>
        </is>
      </c>
      <c r="C175" t="inlineStr">
        <is>
          <t>Supervisório mostra leitura congelada do sensor de nível do tanque V-03.</t>
        </is>
      </c>
      <c r="D175" t="inlineStr">
        <is>
          <t>Subestação Leste</t>
        </is>
      </c>
      <c r="E175" t="inlineStr">
        <is>
          <t>Média</t>
        </is>
      </c>
      <c r="F175" t="inlineStr">
        <is>
          <t>Glória Sampaio</t>
        </is>
      </c>
      <c r="G175" t="inlineStr">
        <is>
          <t>Fechada</t>
        </is>
      </c>
      <c r="H175" s="5" t="n">
        <v>45712.09791666667</v>
      </c>
    </row>
    <row r="176">
      <c r="A176" t="inlineStr">
        <is>
          <t>OS-1674</t>
        </is>
      </c>
      <c r="B176" t="inlineStr">
        <is>
          <t>Aquecimento no mancal do motor G-20</t>
        </is>
      </c>
      <c r="C176" t="inlineStr">
        <is>
          <t>Mancal do motor G-20 acima da temperatura usual na medição com termômetro infravermelho.</t>
        </is>
      </c>
      <c r="D176" t="inlineStr">
        <is>
          <t>Base Operacional Norte</t>
        </is>
      </c>
      <c r="E176" t="inlineStr">
        <is>
          <t>Média</t>
        </is>
      </c>
      <c r="F176" t="inlineStr">
        <is>
          <t>Daniela Pires</t>
        </is>
      </c>
      <c r="G176" t="inlineStr">
        <is>
          <t>Fechada</t>
        </is>
      </c>
      <c r="H176" s="5" t="n">
        <v>45712.40069444444</v>
      </c>
    </row>
    <row r="177">
      <c r="A177" t="inlineStr">
        <is>
          <t>OS-1675</t>
        </is>
      </c>
      <c r="B177" t="inlineStr">
        <is>
          <t>Medidor de vazão D-06 com leitura instável</t>
        </is>
      </c>
      <c r="C177" t="inlineStr">
        <is>
          <t>Medidor de vazão D-06 oscila sem variação de processo.</t>
        </is>
      </c>
      <c r="D177" t="inlineStr">
        <is>
          <t>Subestação Norte</t>
        </is>
      </c>
      <c r="E177" t="inlineStr">
        <is>
          <t>Baixa</t>
        </is>
      </c>
      <c r="F177" t="inlineStr">
        <is>
          <t>Marcos Vinícius Rocha</t>
        </is>
      </c>
      <c r="G177" t="inlineStr">
        <is>
          <t>Fechada</t>
        </is>
      </c>
      <c r="H177" s="5" t="n">
        <v>45712.71180555555</v>
      </c>
    </row>
    <row r="178">
      <c r="A178" t="inlineStr">
        <is>
          <t>OS-1676</t>
        </is>
      </c>
      <c r="B178" t="inlineStr">
        <is>
          <t>Bomba dosadora P-24 sem recalque</t>
        </is>
      </c>
      <c r="C178" t="inlineStr">
        <is>
          <t>Bomba dosadora P-24 liga mas não dosa. Mangueira sem obstrução aparente.</t>
        </is>
      </c>
      <c r="D178" t="inlineStr">
        <is>
          <t>Booster Morada do Sol</t>
        </is>
      </c>
      <c r="E178" t="inlineStr">
        <is>
          <t>Baixa</t>
        </is>
      </c>
      <c r="F178" t="inlineStr">
        <is>
          <t>Priscila Guedes</t>
        </is>
      </c>
      <c r="G178" t="inlineStr">
        <is>
          <t>Fechada</t>
        </is>
      </c>
      <c r="H178" s="5" t="n">
        <v>45713.00625</v>
      </c>
    </row>
    <row r="179">
      <c r="A179" t="inlineStr">
        <is>
          <t>OS-1677</t>
        </is>
      </c>
      <c r="B179" t="inlineStr">
        <is>
          <t>Lâmpada queimada na área V-30</t>
        </is>
      </c>
      <c r="C179" t="inlineStr">
        <is>
          <t>Iluminação da área V-30 sem funcionar. Reposição de lâmpada e conferência do reator.</t>
        </is>
      </c>
      <c r="D179" t="inlineStr">
        <is>
          <t>Subestação Centro</t>
        </is>
      </c>
      <c r="E179" t="inlineStr">
        <is>
          <t>Baixa</t>
        </is>
      </c>
      <c r="F179" t="inlineStr">
        <is>
          <t>Caio Rangel</t>
        </is>
      </c>
      <c r="G179" t="inlineStr">
        <is>
          <t>Fechada</t>
        </is>
      </c>
      <c r="H179" s="5" t="n">
        <v>45713.31736111111</v>
      </c>
    </row>
    <row r="180">
      <c r="A180" t="inlineStr">
        <is>
          <t>OS-1678</t>
        </is>
      </c>
      <c r="B180" t="inlineStr">
        <is>
          <t>Disjuntor desarmando no painel T-29</t>
        </is>
      </c>
      <c r="C180" t="inlineStr">
        <is>
          <t>Disjuntor do painel T-29 desarmou três vezes no turno. Carga dentro do nominal.</t>
        </is>
      </c>
      <c r="D180" t="inlineStr">
        <is>
          <t>ETA Ribeirão Fundo</t>
        </is>
      </c>
      <c r="E180" t="inlineStr">
        <is>
          <t>Baixa</t>
        </is>
      </c>
      <c r="F180" t="inlineStr">
        <is>
          <t>Lívia Montenegro</t>
        </is>
      </c>
      <c r="G180" t="inlineStr">
        <is>
          <t>Fechada</t>
        </is>
      </c>
      <c r="H180" s="5" t="n">
        <v>45713.62569444445</v>
      </c>
    </row>
    <row r="181">
      <c r="A181" t="inlineStr">
        <is>
          <t>OS-1679</t>
        </is>
      </c>
      <c r="B181" t="inlineStr">
        <is>
          <t>Vazamento de óleo no redutor P-13</t>
        </is>
      </c>
      <c r="C181" t="inlineStr">
        <is>
          <t>Gotejamento de óleo no redutor P-13. Nível ainda dentro da faixa.</t>
        </is>
      </c>
      <c r="D181" t="inlineStr">
        <is>
          <t>Oficina Elétrica Central</t>
        </is>
      </c>
      <c r="E181" t="inlineStr">
        <is>
          <t>Média</t>
        </is>
      </c>
      <c r="F181" t="inlineStr">
        <is>
          <t>Caio Rangel</t>
        </is>
      </c>
      <c r="G181" t="inlineStr">
        <is>
          <t>Fechada</t>
        </is>
      </c>
      <c r="H181" s="5" t="n">
        <v>45713.91388888889</v>
      </c>
    </row>
    <row r="182">
      <c r="A182" t="inlineStr">
        <is>
          <t>OS-1680</t>
        </is>
      </c>
      <c r="B182" t="inlineStr">
        <is>
          <t>Vazamento na bomba T-27</t>
        </is>
      </c>
      <c r="C182" t="inlineStr">
        <is>
          <t>Vazamento pelo selo mecânico da bomba T-27. Piso molhado ao redor da base.</t>
        </is>
      </c>
      <c r="D182" t="inlineStr">
        <is>
          <t>Subestação Centro</t>
        </is>
      </c>
      <c r="E182" t="inlineStr">
        <is>
          <t>Baixa</t>
        </is>
      </c>
      <c r="F182" t="inlineStr">
        <is>
          <t>Flávio Gusmão</t>
        </is>
      </c>
      <c r="G182" t="inlineStr">
        <is>
          <t>Fechada</t>
        </is>
      </c>
      <c r="H182" s="5" t="n">
        <v>45714.21944444445</v>
      </c>
    </row>
    <row r="183">
      <c r="A183" t="inlineStr">
        <is>
          <t>OS-1681</t>
        </is>
      </c>
      <c r="B183" t="inlineStr">
        <is>
          <t>Falha de comunicação no CLP D-17</t>
        </is>
      </c>
      <c r="C183" t="inlineStr">
        <is>
          <t>CLP D-17 perde comunicação com o supervisório em intervalos irregulares.</t>
        </is>
      </c>
      <c r="D183" t="inlineStr">
        <is>
          <t>Subestação Sul</t>
        </is>
      </c>
      <c r="E183" t="inlineStr">
        <is>
          <t>Média</t>
        </is>
      </c>
      <c r="F183" t="inlineStr">
        <is>
          <t>Lívia Montenegro</t>
        </is>
      </c>
      <c r="G183" t="inlineStr">
        <is>
          <t>Fechada</t>
        </is>
      </c>
      <c r="H183" s="5" t="n">
        <v>45714.51805555556</v>
      </c>
    </row>
    <row r="184">
      <c r="A184" t="inlineStr">
        <is>
          <t>OS-1682</t>
        </is>
      </c>
      <c r="B184" t="inlineStr">
        <is>
          <t>Infiltração na parede da casa de bombas V-01</t>
        </is>
      </c>
      <c r="C184" t="inlineStr">
        <is>
          <t>Mancha de umidade crescente na parede da casa de bombas V-01.</t>
        </is>
      </c>
      <c r="D184" t="inlineStr">
        <is>
          <t>Reservatório Alto da Colina</t>
        </is>
      </c>
      <c r="E184" t="inlineStr">
        <is>
          <t>Média</t>
        </is>
      </c>
      <c r="F184" t="inlineStr">
        <is>
          <t>Lívia Montenegro</t>
        </is>
      </c>
      <c r="G184" t="inlineStr">
        <is>
          <t>Fechada</t>
        </is>
      </c>
      <c r="H184" s="5" t="n">
        <v>45714.83472222222</v>
      </c>
    </row>
    <row r="185">
      <c r="A185" t="inlineStr">
        <is>
          <t>OS-1683</t>
        </is>
      </c>
      <c r="B185" t="inlineStr">
        <is>
          <t>Troca de filtro do compressor E-36</t>
        </is>
      </c>
      <c r="C185" t="inlineStr">
        <is>
          <t>Filtro de ar do compressor E-36 saturado. Substituição preventiva.</t>
        </is>
      </c>
      <c r="D185" t="inlineStr">
        <is>
          <t>ETA Central</t>
        </is>
      </c>
      <c r="E185" t="inlineStr">
        <is>
          <t>Crítica</t>
        </is>
      </c>
      <c r="F185" t="inlineStr">
        <is>
          <t>Ingrid Queiroz</t>
        </is>
      </c>
      <c r="G185" t="inlineStr">
        <is>
          <t>Fechada</t>
        </is>
      </c>
      <c r="H185" s="5" t="n">
        <v>45715.13263888889</v>
      </c>
    </row>
    <row r="186">
      <c r="A186" t="inlineStr">
        <is>
          <t>OS-1684</t>
        </is>
      </c>
      <c r="B186" t="inlineStr">
        <is>
          <t>Aquecimento no mancal do motor E-19</t>
        </is>
      </c>
      <c r="C186" t="inlineStr">
        <is>
          <t>Mancal do motor E-19 acima da temperatura usual na medição com termômetro infravermelho.</t>
        </is>
      </c>
      <c r="D186" t="inlineStr">
        <is>
          <t>Subestação Centro</t>
        </is>
      </c>
      <c r="E186" t="inlineStr">
        <is>
          <t>Média</t>
        </is>
      </c>
      <c r="F186" t="inlineStr">
        <is>
          <t>Priscila Guedes</t>
        </is>
      </c>
      <c r="G186" t="inlineStr">
        <is>
          <t>Fechada</t>
        </is>
      </c>
      <c r="H186" s="5" t="n">
        <v>45715.46111111111</v>
      </c>
    </row>
    <row r="187">
      <c r="A187" t="inlineStr">
        <is>
          <t>OS-1685</t>
        </is>
      </c>
      <c r="B187" t="inlineStr">
        <is>
          <t>Aquecimento no mancal do motor E-27</t>
        </is>
      </c>
      <c r="C187" t="inlineStr">
        <is>
          <t>Mancal do motor E-27 acima da temperatura usual na medição com termômetro infravermelho.</t>
        </is>
      </c>
      <c r="D187" t="inlineStr">
        <is>
          <t>ETE Rio Claro</t>
        </is>
      </c>
      <c r="E187" t="inlineStr">
        <is>
          <t>Média</t>
        </is>
      </c>
      <c r="F187" t="inlineStr">
        <is>
          <t>Otávio Lacerda</t>
        </is>
      </c>
      <c r="G187" t="inlineStr">
        <is>
          <t>Fechada</t>
        </is>
      </c>
      <c r="H187" s="5" t="n">
        <v>45715.77013888889</v>
      </c>
    </row>
    <row r="188">
      <c r="A188" t="inlineStr">
        <is>
          <t>OS-1686</t>
        </is>
      </c>
      <c r="B188" t="inlineStr">
        <is>
          <t>Calha entupida no prédio R-25</t>
        </is>
      </c>
      <c r="C188" t="inlineStr">
        <is>
          <t>Calha do prédio R-25 transbordando em dia de chuva.</t>
        </is>
      </c>
      <c r="D188" t="inlineStr">
        <is>
          <t>Subestação Sul</t>
        </is>
      </c>
      <c r="E188" t="inlineStr">
        <is>
          <t>Alta</t>
        </is>
      </c>
      <c r="F188" t="inlineStr">
        <is>
          <t>Murilo Paiva</t>
        </is>
      </c>
      <c r="G188" t="inlineStr">
        <is>
          <t>Fechada</t>
        </is>
      </c>
      <c r="H188" s="5" t="n">
        <v>45716.04236111111</v>
      </c>
    </row>
    <row r="189">
      <c r="A189" t="inlineStr">
        <is>
          <t>OS-1687</t>
        </is>
      </c>
      <c r="B189" t="inlineStr">
        <is>
          <t>Falha de comunicação no CLP M-26</t>
        </is>
      </c>
      <c r="C189" t="inlineStr">
        <is>
          <t>CLP M-26 perde comunicação com o supervisório em intervalos irregulares.</t>
        </is>
      </c>
      <c r="D189" t="inlineStr">
        <is>
          <t>Reservatório Alto da Colina</t>
        </is>
      </c>
      <c r="E189" t="inlineStr">
        <is>
          <t>Alta</t>
        </is>
      </c>
      <c r="F189" t="inlineStr">
        <is>
          <t>Flávio Gusmão</t>
        </is>
      </c>
      <c r="G189" t="inlineStr">
        <is>
          <t>Fechada</t>
        </is>
      </c>
      <c r="H189" s="5" t="n">
        <v>45716.37222222222</v>
      </c>
    </row>
    <row r="190">
      <c r="A190" t="inlineStr">
        <is>
          <t>OS-1688</t>
        </is>
      </c>
      <c r="B190" t="inlineStr">
        <is>
          <t>Falha de comunicação no CLP M-35</t>
        </is>
      </c>
      <c r="C190" t="inlineStr">
        <is>
          <t>CLP M-35 perde comunicação com o supervisório em intervalos irregulares.</t>
        </is>
      </c>
      <c r="D190" t="inlineStr">
        <is>
          <t>Booster Morada do Sol</t>
        </is>
      </c>
      <c r="E190" t="inlineStr">
        <is>
          <t>Média</t>
        </is>
      </c>
      <c r="F190" t="inlineStr">
        <is>
          <t>Juliana Aguiar</t>
        </is>
      </c>
      <c r="G190" t="inlineStr">
        <is>
          <t>Fechada</t>
        </is>
      </c>
      <c r="H190" s="5" t="n">
        <v>45716.66319444445</v>
      </c>
    </row>
    <row r="191">
      <c r="A191" t="inlineStr">
        <is>
          <t>OS-1689</t>
        </is>
      </c>
      <c r="B191" t="inlineStr">
        <is>
          <t>Troca de filtro do compressor T-10</t>
        </is>
      </c>
      <c r="C191" t="inlineStr">
        <is>
          <t>Filtro de ar do compressor T-10 saturado. Substituição preventiva.</t>
        </is>
      </c>
      <c r="D191" t="inlineStr">
        <is>
          <t>Captação Rio Verde</t>
        </is>
      </c>
      <c r="E191" t="inlineStr">
        <is>
          <t>Baixa</t>
        </is>
      </c>
      <c r="F191" t="inlineStr">
        <is>
          <t>Natália Cordeiro</t>
        </is>
      </c>
      <c r="G191" t="inlineStr">
        <is>
          <t>Fechada</t>
        </is>
      </c>
      <c r="H191" s="5" t="n">
        <v>45716.97569444445</v>
      </c>
    </row>
    <row r="192">
      <c r="A192" t="inlineStr">
        <is>
          <t>OS-1690</t>
        </is>
      </c>
      <c r="B192" t="inlineStr">
        <is>
          <t>Portão da área P-14 emperrado</t>
        </is>
      </c>
      <c r="C192" t="inlineStr">
        <is>
          <t>Portão de acesso da área P-14 exige força excessiva para abrir.</t>
        </is>
      </c>
      <c r="D192" t="inlineStr">
        <is>
          <t>Adutora Tronco Norte</t>
        </is>
      </c>
      <c r="E192" t="inlineStr">
        <is>
          <t>Baixa</t>
        </is>
      </c>
      <c r="F192" t="inlineStr">
        <is>
          <t>Flávio Gusmão</t>
        </is>
      </c>
      <c r="G192" t="inlineStr">
        <is>
          <t>Fechada</t>
        </is>
      </c>
      <c r="H192" s="5" t="n">
        <v>45717.26388888889</v>
      </c>
    </row>
    <row r="193">
      <c r="A193" t="inlineStr">
        <is>
          <t>OS-1691</t>
        </is>
      </c>
      <c r="B193" t="inlineStr">
        <is>
          <t>Válvula F-09 não fecha por completo</t>
        </is>
      </c>
      <c r="C193" t="inlineStr">
        <is>
          <t>Válvula F-09 com passagem residual mesmo totalmente fechada. Possível desgaste da sede.</t>
        </is>
      </c>
      <c r="D193" t="inlineStr">
        <is>
          <t>Adutora Tronco Norte</t>
        </is>
      </c>
      <c r="E193" t="inlineStr">
        <is>
          <t>Alta</t>
        </is>
      </c>
      <c r="F193" t="inlineStr">
        <is>
          <t>Simone Carvalho</t>
        </is>
      </c>
      <c r="G193" t="inlineStr">
        <is>
          <t>Fechada</t>
        </is>
      </c>
      <c r="H193" s="5" t="n">
        <v>45717.58541666667</v>
      </c>
    </row>
    <row r="194">
      <c r="A194" t="inlineStr">
        <is>
          <t>OS-1692</t>
        </is>
      </c>
      <c r="B194" t="inlineStr">
        <is>
          <t>Tomada sem energia na sala D-29</t>
        </is>
      </c>
      <c r="C194" t="inlineStr">
        <is>
          <t>Tomada de serviço da sala D-29 sem tensão.</t>
        </is>
      </c>
      <c r="D194" t="inlineStr">
        <is>
          <t>Base Operacional Litoral</t>
        </is>
      </c>
      <c r="E194" t="inlineStr">
        <is>
          <t>Média</t>
        </is>
      </c>
      <c r="F194" t="inlineStr">
        <is>
          <t>Zeca Moraes</t>
        </is>
      </c>
      <c r="G194" t="inlineStr">
        <is>
          <t>Fechada</t>
        </is>
      </c>
      <c r="H194" s="5" t="n">
        <v>45717.88611111111</v>
      </c>
    </row>
    <row r="195">
      <c r="A195" t="inlineStr">
        <is>
          <t>OS-1693</t>
        </is>
      </c>
      <c r="B195" t="inlineStr">
        <is>
          <t>Medidor de vazão A-24 com leitura instável</t>
        </is>
      </c>
      <c r="C195" t="inlineStr">
        <is>
          <t>Medidor de vazão A-24 oscila sem variação de processo.</t>
        </is>
      </c>
      <c r="D195" t="inlineStr">
        <is>
          <t>Reservatório Alto da Colina</t>
        </is>
      </c>
      <c r="E195" t="inlineStr">
        <is>
          <t>Média</t>
        </is>
      </c>
      <c r="F195" t="inlineStr">
        <is>
          <t>Glória Sampaio</t>
        </is>
      </c>
      <c r="G195" t="inlineStr">
        <is>
          <t>Fechada</t>
        </is>
      </c>
      <c r="H195" s="5" t="n">
        <v>45718.18819444445</v>
      </c>
    </row>
    <row r="196">
      <c r="A196" t="inlineStr">
        <is>
          <t>OS-1694</t>
        </is>
      </c>
      <c r="B196" t="inlineStr">
        <is>
          <t>Portão da área A-01 emperrado</t>
        </is>
      </c>
      <c r="C196" t="inlineStr">
        <is>
          <t>Portão de acesso da área A-01 exige força excessiva para abrir.</t>
        </is>
      </c>
      <c r="D196" t="inlineStr">
        <is>
          <t>ETE Vale do Sol</t>
        </is>
      </c>
      <c r="E196" t="inlineStr">
        <is>
          <t>Média</t>
        </is>
      </c>
      <c r="F196" t="inlineStr">
        <is>
          <t>Thiago Bastos</t>
        </is>
      </c>
      <c r="G196" t="inlineStr">
        <is>
          <t>Fechada</t>
        </is>
      </c>
      <c r="H196" s="5" t="n">
        <v>45718.51527777778</v>
      </c>
    </row>
    <row r="197">
      <c r="A197" t="inlineStr">
        <is>
          <t>OS-1695</t>
        </is>
      </c>
      <c r="B197" t="inlineStr">
        <is>
          <t>Medidor de vazão A-32 com leitura instável</t>
        </is>
      </c>
      <c r="C197" t="inlineStr">
        <is>
          <t>Medidor de vazão A-32 oscila sem variação de processo.</t>
        </is>
      </c>
      <c r="D197" t="inlineStr">
        <is>
          <t>Captação Rio Verde</t>
        </is>
      </c>
      <c r="E197" t="inlineStr">
        <is>
          <t>Alta</t>
        </is>
      </c>
      <c r="F197" t="inlineStr">
        <is>
          <t>Marcos Vinícius Rocha</t>
        </is>
      </c>
      <c r="G197" t="inlineStr">
        <is>
          <t>Fechada</t>
        </is>
      </c>
      <c r="H197" s="5" t="n">
        <v>45718.81041666667</v>
      </c>
    </row>
    <row r="198">
      <c r="A198" t="inlineStr">
        <is>
          <t>OS-1696</t>
        </is>
      </c>
      <c r="B198" t="inlineStr">
        <is>
          <t>Calha entupida no prédio F-05</t>
        </is>
      </c>
      <c r="C198" t="inlineStr">
        <is>
          <t>Calha do prédio F-05 transbordando em dia de chuva.</t>
        </is>
      </c>
      <c r="D198" t="inlineStr">
        <is>
          <t>Adutora Tronco Sul</t>
        </is>
      </c>
      <c r="E198" t="inlineStr">
        <is>
          <t>Baixa</t>
        </is>
      </c>
      <c r="F198" t="inlineStr">
        <is>
          <t>Vagner Pacheco</t>
        </is>
      </c>
      <c r="G198" t="inlineStr">
        <is>
          <t>Fechada</t>
        </is>
      </c>
      <c r="H198" s="5" t="n">
        <v>45719.11388888889</v>
      </c>
    </row>
    <row r="199">
      <c r="A199" t="inlineStr">
        <is>
          <t>OS-1697</t>
        </is>
      </c>
      <c r="B199" t="inlineStr">
        <is>
          <t>Vazamento na bomba C-32</t>
        </is>
      </c>
      <c r="C199" t="inlineStr">
        <is>
          <t>Vazamento pelo selo mecânico da bomba C-32. Piso molhado ao redor da base.</t>
        </is>
      </c>
      <c r="D199" t="inlineStr">
        <is>
          <t>Subestação Centro</t>
        </is>
      </c>
      <c r="E199" t="inlineStr">
        <is>
          <t>Média</t>
        </is>
      </c>
      <c r="F199" t="inlineStr">
        <is>
          <t>Flávio Gusmão</t>
        </is>
      </c>
      <c r="G199" t="inlineStr">
        <is>
          <t>Fechada</t>
        </is>
      </c>
      <c r="H199" s="5" t="n">
        <v>45719.43194444444</v>
      </c>
    </row>
    <row r="200">
      <c r="A200" t="inlineStr">
        <is>
          <t>OS-1698</t>
        </is>
      </c>
      <c r="B200" t="inlineStr">
        <is>
          <t>Troca de filtro do compressor V-37</t>
        </is>
      </c>
      <c r="C200" t="inlineStr">
        <is>
          <t>Filtro de ar do compressor V-37 saturado. Substituição preventiva.</t>
        </is>
      </c>
      <c r="D200" t="inlineStr">
        <is>
          <t>Subestação Leste</t>
        </is>
      </c>
      <c r="E200" t="inlineStr">
        <is>
          <t>Baixa</t>
        </is>
      </c>
      <c r="F200" t="inlineStr">
        <is>
          <t>Rafael Torres</t>
        </is>
      </c>
      <c r="G200" t="inlineStr">
        <is>
          <t>Fechada</t>
        </is>
      </c>
      <c r="H200" s="5" t="n">
        <v>45719.71597222222</v>
      </c>
    </row>
    <row r="201">
      <c r="A201" t="inlineStr">
        <is>
          <t>OS-1699</t>
        </is>
      </c>
      <c r="B201" t="inlineStr">
        <is>
          <t>Exaustor F-11 parado</t>
        </is>
      </c>
      <c r="C201" t="inlineStr">
        <is>
          <t>Exaustor F-11 não parte. Fusível íntegro.</t>
        </is>
      </c>
      <c r="D201" t="inlineStr">
        <is>
          <t>Oficina Mecânica Central</t>
        </is>
      </c>
      <c r="E201" t="inlineStr">
        <is>
          <t>Média</t>
        </is>
      </c>
      <c r="F201" t="inlineStr">
        <is>
          <t>Cíntia Freitas</t>
        </is>
      </c>
      <c r="G201" t="inlineStr">
        <is>
          <t>Fechada</t>
        </is>
      </c>
      <c r="H201" s="5" t="n">
        <v>45720.01458333333</v>
      </c>
    </row>
    <row r="202">
      <c r="A202" t="inlineStr">
        <is>
          <t>OS-1700</t>
        </is>
      </c>
      <c r="B202" t="inlineStr">
        <is>
          <t>Portão da área C-27 emperrado</t>
        </is>
      </c>
      <c r="C202" t="inlineStr">
        <is>
          <t>Portão de acesso da área C-27 exige força excessiva para abrir.</t>
        </is>
      </c>
      <c r="D202" t="inlineStr">
        <is>
          <t>Galpão de Materiais</t>
        </is>
      </c>
      <c r="E202" t="inlineStr">
        <is>
          <t>Baixa</t>
        </is>
      </c>
      <c r="F202" t="inlineStr">
        <is>
          <t>Flávio Gusmão</t>
        </is>
      </c>
      <c r="G202" t="inlineStr">
        <is>
          <t>Fechada</t>
        </is>
      </c>
      <c r="H202" s="5" t="n">
        <v>45720.33541666667</v>
      </c>
    </row>
    <row r="203">
      <c r="A203" t="inlineStr">
        <is>
          <t>OS-1701</t>
        </is>
      </c>
      <c r="B203" t="inlineStr">
        <is>
          <t>Pintura descascada na estrutura E-38</t>
        </is>
      </c>
      <c r="C203" t="inlineStr">
        <is>
          <t>Estrutura metálica E-38 com pontos de corrosão sob a pintura.</t>
        </is>
      </c>
      <c r="D203" t="inlineStr">
        <is>
          <t>Usina Fotovoltaica Cerrado</t>
        </is>
      </c>
      <c r="E203" t="inlineStr">
        <is>
          <t>Média</t>
        </is>
      </c>
      <c r="F203" t="inlineStr">
        <is>
          <t>Lívia Montenegro</t>
        </is>
      </c>
      <c r="G203" t="inlineStr">
        <is>
          <t>Fechada</t>
        </is>
      </c>
      <c r="H203" s="5" t="n">
        <v>45720.61527777778</v>
      </c>
    </row>
    <row r="204">
      <c r="A204" t="inlineStr">
        <is>
          <t>OS-1702</t>
        </is>
      </c>
      <c r="B204" t="inlineStr">
        <is>
          <t>Lâmpada queimada na área P-21</t>
        </is>
      </c>
      <c r="C204" t="inlineStr">
        <is>
          <t>Iluminação da área P-21 sem funcionar. Reposição de lâmpada e conferência do reator.</t>
        </is>
      </c>
      <c r="D204" t="inlineStr">
        <is>
          <t>Usina Fotovoltaica Planalto</t>
        </is>
      </c>
      <c r="E204" t="inlineStr">
        <is>
          <t>Baixa</t>
        </is>
      </c>
      <c r="F204" t="inlineStr">
        <is>
          <t>Yara Medeiros</t>
        </is>
      </c>
      <c r="G204" t="inlineStr">
        <is>
          <t>Fechada</t>
        </is>
      </c>
      <c r="H204" s="5" t="n">
        <v>45720.95972222222</v>
      </c>
    </row>
    <row r="205">
      <c r="A205" t="inlineStr">
        <is>
          <t>OS-1703</t>
        </is>
      </c>
      <c r="B205" t="inlineStr">
        <is>
          <t>Tomada sem energia na sala F-32</t>
        </is>
      </c>
      <c r="C205" t="inlineStr">
        <is>
          <t>Tomada de serviço da sala F-32 sem tensão.</t>
        </is>
      </c>
      <c r="D205" t="inlineStr">
        <is>
          <t>Subestação Oeste</t>
        </is>
      </c>
      <c r="E205" t="inlineStr">
        <is>
          <t>Baixa</t>
        </is>
      </c>
      <c r="F205" t="inlineStr">
        <is>
          <t>Danilo Peixoto</t>
        </is>
      </c>
      <c r="G205" t="inlineStr">
        <is>
          <t>Fechada</t>
        </is>
      </c>
      <c r="H205" s="5" t="n">
        <v>45721.26388888889</v>
      </c>
    </row>
    <row r="206">
      <c r="A206" t="inlineStr">
        <is>
          <t>OS-1704</t>
        </is>
      </c>
      <c r="B206" t="inlineStr">
        <is>
          <t>Medidor de vazão E-09 com leitura instável</t>
        </is>
      </c>
      <c r="C206" t="inlineStr">
        <is>
          <t>Medidor de vazão E-09 oscila sem variação de processo.</t>
        </is>
      </c>
      <c r="D206" t="inlineStr">
        <is>
          <t>Reservatório Industrial</t>
        </is>
      </c>
      <c r="E206" t="inlineStr">
        <is>
          <t>Média</t>
        </is>
      </c>
      <c r="F206" t="inlineStr">
        <is>
          <t>Gabriel Matos</t>
        </is>
      </c>
      <c r="G206" t="inlineStr">
        <is>
          <t>Fechada</t>
        </is>
      </c>
      <c r="H206" s="5" t="n">
        <v>45721.54305555556</v>
      </c>
    </row>
    <row r="207">
      <c r="A207" t="inlineStr">
        <is>
          <t>OS-1705</t>
        </is>
      </c>
      <c r="B207" t="inlineStr">
        <is>
          <t>Falha de comunicação no CLP M-25</t>
        </is>
      </c>
      <c r="C207" t="inlineStr">
        <is>
          <t>CLP M-25 perde comunicação com o supervisório em intervalos irregulares.</t>
        </is>
      </c>
      <c r="D207" t="inlineStr">
        <is>
          <t>Subestação Oeste</t>
        </is>
      </c>
      <c r="E207" t="inlineStr">
        <is>
          <t>Média</t>
        </is>
      </c>
      <c r="F207" t="inlineStr">
        <is>
          <t>Aline Rocha</t>
        </is>
      </c>
      <c r="G207" t="inlineStr">
        <is>
          <t>Fechada</t>
        </is>
      </c>
      <c r="H207" s="5" t="n">
        <v>45721.85</v>
      </c>
    </row>
    <row r="208">
      <c r="A208" t="inlineStr">
        <is>
          <t>OS-1706</t>
        </is>
      </c>
      <c r="B208" t="inlineStr">
        <is>
          <t>Sensor de nível sem leitura no tanque T-32</t>
        </is>
      </c>
      <c r="C208" t="inlineStr">
        <is>
          <t>Supervisório mostra leitura congelada do sensor de nível do tanque T-32.</t>
        </is>
      </c>
      <c r="D208" t="inlineStr">
        <is>
          <t>Usina Fotovoltaica Planalto</t>
        </is>
      </c>
      <c r="E208" t="inlineStr">
        <is>
          <t>Baixa</t>
        </is>
      </c>
      <c r="F208" t="inlineStr">
        <is>
          <t>Yara Medeiros</t>
        </is>
      </c>
      <c r="G208" t="inlineStr">
        <is>
          <t>Fechada</t>
        </is>
      </c>
      <c r="H208" s="5" t="n">
        <v>45722.15</v>
      </c>
    </row>
    <row r="209">
      <c r="A209" t="inlineStr">
        <is>
          <t>OS-1707</t>
        </is>
      </c>
      <c r="B209" t="inlineStr">
        <is>
          <t>Falha de comunicação no CLP C-37</t>
        </is>
      </c>
      <c r="C209" t="inlineStr">
        <is>
          <t>CLP C-37 perde comunicação com o supervisório em intervalos irregulares.</t>
        </is>
      </c>
      <c r="D209" t="inlineStr">
        <is>
          <t>Base Operacional Norte</t>
        </is>
      </c>
      <c r="E209" t="inlineStr">
        <is>
          <t>Média</t>
        </is>
      </c>
      <c r="F209" t="inlineStr">
        <is>
          <t>Glória Sampaio</t>
        </is>
      </c>
      <c r="G209" t="inlineStr">
        <is>
          <t>Fechada</t>
        </is>
      </c>
      <c r="H209" s="5" t="n">
        <v>45722.44861111111</v>
      </c>
    </row>
    <row r="210">
      <c r="A210" t="inlineStr">
        <is>
          <t>OS-1708</t>
        </is>
      </c>
      <c r="B210" t="inlineStr">
        <is>
          <t>Calha entupida no prédio M-34</t>
        </is>
      </c>
      <c r="C210" t="inlineStr">
        <is>
          <t>Calha do prédio M-34 transbordando em dia de chuva.</t>
        </is>
      </c>
      <c r="D210" t="inlineStr">
        <is>
          <t>Oficina Elétrica Central</t>
        </is>
      </c>
      <c r="E210" t="inlineStr">
        <is>
          <t>Média</t>
        </is>
      </c>
      <c r="F210" t="inlineStr">
        <is>
          <t>Otávio Lacerda</t>
        </is>
      </c>
      <c r="G210" t="inlineStr">
        <is>
          <t>Fechada</t>
        </is>
      </c>
      <c r="H210" s="5" t="n">
        <v>45722.75625</v>
      </c>
    </row>
    <row r="211">
      <c r="A211" t="inlineStr">
        <is>
          <t>OS-1709</t>
        </is>
      </c>
      <c r="B211" t="inlineStr">
        <is>
          <t>Lâmpada queimada na área V-27</t>
        </is>
      </c>
      <c r="C211" t="inlineStr">
        <is>
          <t>Iluminação da área V-27 sem funcionar. Reposição de lâmpada e conferência do reator.</t>
        </is>
      </c>
      <c r="D211" t="inlineStr">
        <is>
          <t>Booster Parque das Águas</t>
        </is>
      </c>
      <c r="E211" t="inlineStr">
        <is>
          <t>Baixa</t>
        </is>
      </c>
      <c r="F211" t="inlineStr">
        <is>
          <t>Heloísa Barreto</t>
        </is>
      </c>
      <c r="G211" t="inlineStr">
        <is>
          <t>Fechada</t>
        </is>
      </c>
      <c r="H211" s="5" t="n">
        <v>45723.06041666667</v>
      </c>
    </row>
    <row r="212">
      <c r="A212" t="inlineStr">
        <is>
          <t>OS-1710</t>
        </is>
      </c>
      <c r="B212" t="inlineStr">
        <is>
          <t>Pintura descascada na estrutura E-23</t>
        </is>
      </c>
      <c r="C212" t="inlineStr">
        <is>
          <t>Estrutura metálica E-23 com pontos de corrosão sob a pintura.</t>
        </is>
      </c>
      <c r="D212" t="inlineStr">
        <is>
          <t>Subestação Sul</t>
        </is>
      </c>
      <c r="E212" t="inlineStr">
        <is>
          <t>Média</t>
        </is>
      </c>
      <c r="F212" t="inlineStr">
        <is>
          <t>Glória Sampaio</t>
        </is>
      </c>
      <c r="G212" t="inlineStr">
        <is>
          <t>Fechada</t>
        </is>
      </c>
      <c r="H212" s="5" t="n">
        <v>45723.38819444444</v>
      </c>
    </row>
    <row r="213">
      <c r="A213" t="inlineStr">
        <is>
          <t>OS-1711</t>
        </is>
      </c>
      <c r="B213" t="inlineStr">
        <is>
          <t>Sensor de nível sem leitura no tanque E-33</t>
        </is>
      </c>
      <c r="C213" t="inlineStr">
        <is>
          <t>Supervisório mostra leitura congelada do sensor de nível do tanque E-33.</t>
        </is>
      </c>
      <c r="D213" t="inlineStr">
        <is>
          <t>Pátio de Veículos</t>
        </is>
      </c>
      <c r="E213" t="inlineStr">
        <is>
          <t>Alta</t>
        </is>
      </c>
      <c r="F213" t="inlineStr">
        <is>
          <t>Marcos Vinícius Rocha</t>
        </is>
      </c>
      <c r="G213" t="inlineStr">
        <is>
          <t>Fechada</t>
        </is>
      </c>
      <c r="H213" s="5" t="n">
        <v>45723.69861111111</v>
      </c>
    </row>
    <row r="214">
      <c r="A214" t="inlineStr">
        <is>
          <t>OS-1712</t>
        </is>
      </c>
      <c r="B214" t="inlineStr">
        <is>
          <t>Falha de comunicação no CLP G-15</t>
        </is>
      </c>
      <c r="C214" t="inlineStr">
        <is>
          <t>CLP G-15 perde comunicação com o supervisório em intervalos irregulares.</t>
        </is>
      </c>
      <c r="D214" t="inlineStr">
        <is>
          <t>Adutora Tronco Norte</t>
        </is>
      </c>
      <c r="E214" t="inlineStr">
        <is>
          <t>Alta</t>
        </is>
      </c>
      <c r="F214" t="inlineStr">
        <is>
          <t>Igor Fonseca</t>
        </is>
      </c>
      <c r="G214" t="inlineStr">
        <is>
          <t>Fechada</t>
        </is>
      </c>
      <c r="H214" s="5" t="n">
        <v>45724.00625</v>
      </c>
    </row>
    <row r="215">
      <c r="A215" t="inlineStr">
        <is>
          <t>OS-1713</t>
        </is>
      </c>
      <c r="B215" t="inlineStr">
        <is>
          <t>Falha de comunicação no CLP G-40</t>
        </is>
      </c>
      <c r="C215" t="inlineStr">
        <is>
          <t>CLP G-40 perde comunicação com o supervisório em intervalos irregulares.</t>
        </is>
      </c>
      <c r="D215" t="inlineStr">
        <is>
          <t>Subestação Leste</t>
        </is>
      </c>
      <c r="E215" t="inlineStr">
        <is>
          <t>Alta</t>
        </is>
      </c>
      <c r="F215" t="inlineStr">
        <is>
          <t>Igor Fonseca</t>
        </is>
      </c>
      <c r="G215" t="inlineStr">
        <is>
          <t>Fechada</t>
        </is>
      </c>
      <c r="H215" s="5" t="n">
        <v>45724.30555555555</v>
      </c>
    </row>
    <row r="216">
      <c r="A216" t="inlineStr">
        <is>
          <t>OS-1714</t>
        </is>
      </c>
      <c r="B216" t="inlineStr">
        <is>
          <t>Exaustor M-32 parado</t>
        </is>
      </c>
      <c r="C216" t="inlineStr">
        <is>
          <t>Exaustor M-32 não parte. Fusível íntegro.</t>
        </is>
      </c>
      <c r="D216" t="inlineStr">
        <is>
          <t>Usina Fotovoltaica Planalto</t>
        </is>
      </c>
      <c r="E216" t="inlineStr">
        <is>
          <t>Média</t>
        </is>
      </c>
      <c r="F216" t="inlineStr">
        <is>
          <t>Aline Rocha</t>
        </is>
      </c>
      <c r="G216" t="inlineStr">
        <is>
          <t>Fechada</t>
        </is>
      </c>
      <c r="H216" s="5" t="n">
        <v>45724.58472222222</v>
      </c>
    </row>
    <row r="217">
      <c r="A217" t="inlineStr">
        <is>
          <t>OS-1715</t>
        </is>
      </c>
      <c r="B217" t="inlineStr">
        <is>
          <t>Correia do ventilador G-24 desgastada</t>
        </is>
      </c>
      <c r="C217" t="inlineStr">
        <is>
          <t>Correia do ventilador G-24 com trincas visíveis e folga excessiva.</t>
        </is>
      </c>
      <c r="D217" t="inlineStr">
        <is>
          <t>Captação Lagoa Seca</t>
        </is>
      </c>
      <c r="E217" t="inlineStr">
        <is>
          <t>Média</t>
        </is>
      </c>
      <c r="F217" t="inlineStr">
        <is>
          <t>Kleber Antunes</t>
        </is>
      </c>
      <c r="G217" t="inlineStr">
        <is>
          <t>Fechada</t>
        </is>
      </c>
      <c r="H217" s="5" t="n">
        <v>45724.89930555555</v>
      </c>
    </row>
    <row r="218">
      <c r="A218" t="inlineStr">
        <is>
          <t>OS-1716</t>
        </is>
      </c>
      <c r="B218" t="inlineStr">
        <is>
          <t>Falha de comunicação no CLP H-30</t>
        </is>
      </c>
      <c r="C218" t="inlineStr">
        <is>
          <t>CLP H-30 perde comunicação com o supervisório em intervalos irregulares.</t>
        </is>
      </c>
      <c r="D218" t="inlineStr">
        <is>
          <t>ETE Vale do Sol</t>
        </is>
      </c>
      <c r="E218" t="inlineStr">
        <is>
          <t>Alta</t>
        </is>
      </c>
      <c r="F218" t="inlineStr">
        <is>
          <t>Érica Andrade</t>
        </is>
      </c>
      <c r="G218" t="inlineStr">
        <is>
          <t>Fechada</t>
        </is>
      </c>
      <c r="H218" s="5" t="n">
        <v>45725.19652777778</v>
      </c>
    </row>
    <row r="219">
      <c r="A219" t="inlineStr">
        <is>
          <t>OS-1717</t>
        </is>
      </c>
      <c r="B219" t="inlineStr">
        <is>
          <t>Calha entupida no prédio A-05</t>
        </is>
      </c>
      <c r="C219" t="inlineStr">
        <is>
          <t>Calha do prédio A-05 transbordando em dia de chuva.</t>
        </is>
      </c>
      <c r="D219" t="inlineStr">
        <is>
          <t>ETE Vale do Sol</t>
        </is>
      </c>
      <c r="E219" t="inlineStr">
        <is>
          <t>Baixa</t>
        </is>
      </c>
      <c r="F219" t="inlineStr">
        <is>
          <t>Daniela Pires</t>
        </is>
      </c>
      <c r="G219" t="inlineStr">
        <is>
          <t>Fechada</t>
        </is>
      </c>
      <c r="H219" s="5" t="n">
        <v>45725.51736111111</v>
      </c>
    </row>
    <row r="220">
      <c r="A220" t="inlineStr">
        <is>
          <t>OS-1718</t>
        </is>
      </c>
      <c r="B220" t="inlineStr">
        <is>
          <t>Lâmpada queimada na área R-38</t>
        </is>
      </c>
      <c r="C220" t="inlineStr">
        <is>
          <t>Iluminação da área R-38 sem funcionar. Reposição de lâmpada e conferência do reator.</t>
        </is>
      </c>
      <c r="D220" t="inlineStr">
        <is>
          <t>Estação Elevatória Oeste</t>
        </is>
      </c>
      <c r="E220" t="inlineStr">
        <is>
          <t>Baixa</t>
        </is>
      </c>
      <c r="F220" t="inlineStr">
        <is>
          <t>Marcos Vinícius Rocha</t>
        </is>
      </c>
      <c r="G220" t="inlineStr">
        <is>
          <t>Fechada</t>
        </is>
      </c>
      <c r="H220" s="5" t="n">
        <v>45725.84166666667</v>
      </c>
    </row>
    <row r="221">
      <c r="A221" t="inlineStr">
        <is>
          <t>OS-1719</t>
        </is>
      </c>
      <c r="B221" t="inlineStr">
        <is>
          <t>Troca de filtro do compressor C-29</t>
        </is>
      </c>
      <c r="C221" t="inlineStr">
        <is>
          <t>Filtro de ar do compressor C-29 saturado. Substituição preventiva.</t>
        </is>
      </c>
      <c r="D221" t="inlineStr">
        <is>
          <t>Base Operacional Norte</t>
        </is>
      </c>
      <c r="E221" t="inlineStr">
        <is>
          <t>Média</t>
        </is>
      </c>
      <c r="F221" t="inlineStr">
        <is>
          <t>Érica Andrade</t>
        </is>
      </c>
      <c r="G221" t="inlineStr">
        <is>
          <t>Fechada</t>
        </is>
      </c>
      <c r="H221" s="5" t="n">
        <v>45726.14375</v>
      </c>
    </row>
    <row r="222">
      <c r="A222" t="inlineStr">
        <is>
          <t>OS-1720</t>
        </is>
      </c>
      <c r="B222" t="inlineStr">
        <is>
          <t>Falha de comunicação no CLP V-25</t>
        </is>
      </c>
      <c r="C222" t="inlineStr">
        <is>
          <t>CLP V-25 perde comunicação com o supervisório em intervalos irregulares.</t>
        </is>
      </c>
      <c r="D222" t="inlineStr">
        <is>
          <t>Oficina Mecânica Central</t>
        </is>
      </c>
      <c r="E222" t="inlineStr">
        <is>
          <t>Baixa</t>
        </is>
      </c>
      <c r="F222" t="inlineStr">
        <is>
          <t>Beatriz Farias</t>
        </is>
      </c>
      <c r="G222" t="inlineStr">
        <is>
          <t>Fechada</t>
        </is>
      </c>
      <c r="H222" s="5" t="n">
        <v>45726.42222222222</v>
      </c>
    </row>
    <row r="223">
      <c r="A223" t="inlineStr">
        <is>
          <t>OS-1721</t>
        </is>
      </c>
      <c r="B223" t="inlineStr">
        <is>
          <t>Aquecimento no mancal do motor P-23</t>
        </is>
      </c>
      <c r="C223" t="inlineStr">
        <is>
          <t>Mancal do motor P-23 acima da temperatura usual na medição com termômetro infravermelho.</t>
        </is>
      </c>
      <c r="D223" t="inlineStr">
        <is>
          <t>Estação Elevatória Oeste</t>
        </is>
      </c>
      <c r="E223" t="inlineStr">
        <is>
          <t>Média</t>
        </is>
      </c>
      <c r="F223" t="inlineStr">
        <is>
          <t>Aline Rocha</t>
        </is>
      </c>
      <c r="G223" t="inlineStr">
        <is>
          <t>Fechada</t>
        </is>
      </c>
      <c r="H223" s="5" t="n">
        <v>45726.71736111111</v>
      </c>
    </row>
    <row r="224">
      <c r="A224" t="inlineStr">
        <is>
          <t>OS-1722</t>
        </is>
      </c>
      <c r="B224" t="inlineStr">
        <is>
          <t>Ar-condicionado da sala P-06 sem refrigerar</t>
        </is>
      </c>
      <c r="C224" t="inlineStr">
        <is>
          <t>Ar-condicionado da sala de painéis P-06 ligado sem refrigerar.</t>
        </is>
      </c>
      <c r="D224" t="inlineStr">
        <is>
          <t>ETA Ribeirão Fundo</t>
        </is>
      </c>
      <c r="E224" t="inlineStr">
        <is>
          <t>Média</t>
        </is>
      </c>
      <c r="F224" t="inlineStr">
        <is>
          <t>Eduardo Salles</t>
        </is>
      </c>
      <c r="G224" t="inlineStr">
        <is>
          <t>Fechada</t>
        </is>
      </c>
      <c r="H224" s="5" t="n">
        <v>45727.04652777778</v>
      </c>
    </row>
    <row r="225">
      <c r="A225" t="inlineStr">
        <is>
          <t>OS-1723</t>
        </is>
      </c>
      <c r="B225" t="inlineStr">
        <is>
          <t>Sensor de nível sem leitura no tanque M-39</t>
        </is>
      </c>
      <c r="C225" t="inlineStr">
        <is>
          <t>Supervisório mostra leitura congelada do sensor de nível do tanque M-39.</t>
        </is>
      </c>
      <c r="D225" t="inlineStr">
        <is>
          <t>Booster Morada do Sol</t>
        </is>
      </c>
      <c r="E225" t="inlineStr">
        <is>
          <t>Alta</t>
        </is>
      </c>
      <c r="F225" t="inlineStr">
        <is>
          <t>Wesley Cardoso</t>
        </is>
      </c>
      <c r="G225" t="inlineStr">
        <is>
          <t>Fechada</t>
        </is>
      </c>
      <c r="H225" s="5" t="n">
        <v>45727.35555555556</v>
      </c>
    </row>
    <row r="226">
      <c r="A226" t="inlineStr">
        <is>
          <t>OS-1724</t>
        </is>
      </c>
      <c r="B226" t="inlineStr">
        <is>
          <t>Disjuntor desarmando no painel C-14</t>
        </is>
      </c>
      <c r="C226" t="inlineStr">
        <is>
          <t>Disjuntor do painel C-14 desarmou três vezes no turno. Carga dentro do nominal.</t>
        </is>
      </c>
      <c r="D226" t="inlineStr">
        <is>
          <t>Subestação Leste</t>
        </is>
      </c>
      <c r="E226" t="inlineStr">
        <is>
          <t>Média</t>
        </is>
      </c>
      <c r="F226" t="inlineStr">
        <is>
          <t>Flávio Gusmão</t>
        </is>
      </c>
      <c r="G226" t="inlineStr">
        <is>
          <t>Fechada</t>
        </is>
      </c>
      <c r="H226" s="5" t="n">
        <v>45727.64097222222</v>
      </c>
    </row>
    <row r="227">
      <c r="A227" t="inlineStr">
        <is>
          <t>OS-1725</t>
        </is>
      </c>
      <c r="B227" t="inlineStr">
        <is>
          <t>Calha entupida no prédio P-27</t>
        </is>
      </c>
      <c r="C227" t="inlineStr">
        <is>
          <t>Calha do prédio P-27 transbordando em dia de chuva.</t>
        </is>
      </c>
      <c r="D227" t="inlineStr">
        <is>
          <t>Almoxarifado Central</t>
        </is>
      </c>
      <c r="E227" t="inlineStr">
        <is>
          <t>Média</t>
        </is>
      </c>
      <c r="F227" t="inlineStr">
        <is>
          <t>Bernardo Leal</t>
        </is>
      </c>
      <c r="G227" t="inlineStr">
        <is>
          <t>Fechada</t>
        </is>
      </c>
      <c r="H227" s="5" t="n">
        <v>45727.93958333333</v>
      </c>
    </row>
    <row r="228">
      <c r="A228" t="inlineStr">
        <is>
          <t>OS-1726</t>
        </is>
      </c>
      <c r="B228" t="inlineStr">
        <is>
          <t>Ruído anormal no motor A-25</t>
        </is>
      </c>
      <c r="C228" t="inlineStr">
        <is>
          <t>Ruído intermitente no motor A-25 durante a partida. Temperatura normal ao toque.</t>
        </is>
      </c>
      <c r="D228" t="inlineStr">
        <is>
          <t>Usina Fotovoltaica Cerrado</t>
        </is>
      </c>
      <c r="E228" t="inlineStr">
        <is>
          <t>Alta</t>
        </is>
      </c>
      <c r="F228" t="inlineStr">
        <is>
          <t>Marcos Vinícius Rocha</t>
        </is>
      </c>
      <c r="G228" t="inlineStr">
        <is>
          <t>Fechada</t>
        </is>
      </c>
      <c r="H228" s="5" t="n">
        <v>45728.24513888889</v>
      </c>
    </row>
    <row r="229">
      <c r="A229" t="inlineStr">
        <is>
          <t>OS-1727</t>
        </is>
      </c>
      <c r="B229" t="inlineStr">
        <is>
          <t>Medidor de vazão G-22 com leitura instável</t>
        </is>
      </c>
      <c r="C229" t="inlineStr">
        <is>
          <t>Medidor de vazão G-22 oscila sem variação de processo.</t>
        </is>
      </c>
      <c r="D229" t="inlineStr">
        <is>
          <t>ETA Central</t>
        </is>
      </c>
      <c r="E229" t="inlineStr">
        <is>
          <t>Baixa</t>
        </is>
      </c>
      <c r="F229" t="inlineStr">
        <is>
          <t>Érica Andrade</t>
        </is>
      </c>
      <c r="G229" t="inlineStr">
        <is>
          <t>Fechada</t>
        </is>
      </c>
      <c r="H229" s="5" t="n">
        <v>45728.55625</v>
      </c>
    </row>
    <row r="230">
      <c r="A230" t="inlineStr">
        <is>
          <t>OS-1728</t>
        </is>
      </c>
      <c r="B230" t="inlineStr">
        <is>
          <t>Sensor de nível sem leitura no tanque A-13</t>
        </is>
      </c>
      <c r="C230" t="inlineStr">
        <is>
          <t>Supervisório mostra leitura congelada do sensor de nível do tanque A-13.</t>
        </is>
      </c>
      <c r="D230" t="inlineStr">
        <is>
          <t>Subestação Sul</t>
        </is>
      </c>
      <c r="E230" t="inlineStr">
        <is>
          <t>Baixa</t>
        </is>
      </c>
      <c r="F230" t="inlineStr">
        <is>
          <t>Priscila Guedes</t>
        </is>
      </c>
      <c r="G230" t="inlineStr">
        <is>
          <t>Fechada</t>
        </is>
      </c>
      <c r="H230" s="5" t="n">
        <v>45728.88472222222</v>
      </c>
    </row>
    <row r="231">
      <c r="A231" t="inlineStr">
        <is>
          <t>OS-1729</t>
        </is>
      </c>
      <c r="B231" t="inlineStr">
        <is>
          <t>Troca de filtro do compressor M-04</t>
        </is>
      </c>
      <c r="C231" t="inlineStr">
        <is>
          <t>Filtro de ar do compressor M-04 saturado. Substituição preventiva.</t>
        </is>
      </c>
      <c r="D231" t="inlineStr">
        <is>
          <t>Base Operacional Serra</t>
        </is>
      </c>
      <c r="E231" t="inlineStr">
        <is>
          <t>Baixa</t>
        </is>
      </c>
      <c r="F231" t="inlineStr">
        <is>
          <t>Érica Andrade</t>
        </is>
      </c>
      <c r="G231" t="inlineStr">
        <is>
          <t>Fechada</t>
        </is>
      </c>
      <c r="H231" s="5" t="n">
        <v>45729.16111111111</v>
      </c>
    </row>
    <row r="232">
      <c r="A232" t="inlineStr">
        <is>
          <t>OS-1730</t>
        </is>
      </c>
      <c r="B232" t="inlineStr">
        <is>
          <t>Medidor de vazão A-31 com leitura instável</t>
        </is>
      </c>
      <c r="C232" t="inlineStr">
        <is>
          <t>Medidor de vazão A-31 oscila sem variação de processo.</t>
        </is>
      </c>
      <c r="D232" t="inlineStr">
        <is>
          <t>Reservatório Industrial</t>
        </is>
      </c>
      <c r="E232" t="inlineStr">
        <is>
          <t>Crítica</t>
        </is>
      </c>
      <c r="F232" t="inlineStr">
        <is>
          <t>Murilo Paiva</t>
        </is>
      </c>
      <c r="G232" t="inlineStr">
        <is>
          <t>Fechada</t>
        </is>
      </c>
      <c r="H232" s="5" t="n">
        <v>45729.49722222222</v>
      </c>
    </row>
    <row r="233">
      <c r="A233" t="inlineStr">
        <is>
          <t>OS-1731</t>
        </is>
      </c>
      <c r="B233" t="inlineStr">
        <is>
          <t>Calha entupida no prédio D-33</t>
        </is>
      </c>
      <c r="C233" t="inlineStr">
        <is>
          <t>Calha do prédio D-33 transbordando em dia de chuva.</t>
        </is>
      </c>
      <c r="D233" t="inlineStr">
        <is>
          <t>ETE Vale do Sol</t>
        </is>
      </c>
      <c r="E233" t="inlineStr">
        <is>
          <t>Baixa</t>
        </is>
      </c>
      <c r="F233" t="inlineStr">
        <is>
          <t>Vagner Pacheco</t>
        </is>
      </c>
      <c r="G233" t="inlineStr">
        <is>
          <t>Fechada</t>
        </is>
      </c>
      <c r="H233" s="5" t="n">
        <v>45729.79722222222</v>
      </c>
    </row>
    <row r="234">
      <c r="A234" t="inlineStr">
        <is>
          <t>OS-1732</t>
        </is>
      </c>
      <c r="B234" t="inlineStr">
        <is>
          <t>Bomba dosadora D-14 sem recalque</t>
        </is>
      </c>
      <c r="C234" t="inlineStr">
        <is>
          <t>Bomba dosadora D-14 liga mas não dosa. Mangueira sem obstrução aparente.</t>
        </is>
      </c>
      <c r="D234" t="inlineStr">
        <is>
          <t>Booster Morada do Sol</t>
        </is>
      </c>
      <c r="E234" t="inlineStr">
        <is>
          <t>Média</t>
        </is>
      </c>
      <c r="F234" t="inlineStr">
        <is>
          <t>Priscila Guedes</t>
        </is>
      </c>
      <c r="G234" t="inlineStr">
        <is>
          <t>Fechada</t>
        </is>
      </c>
      <c r="H234" s="5" t="n">
        <v>45730.10833333333</v>
      </c>
    </row>
    <row r="235">
      <c r="A235" t="inlineStr">
        <is>
          <t>OS-1733</t>
        </is>
      </c>
      <c r="B235" t="inlineStr">
        <is>
          <t>Lâmpada queimada na área C-39</t>
        </is>
      </c>
      <c r="C235" t="inlineStr">
        <is>
          <t>Iluminação da área C-39 sem funcionar. Reposição de lâmpada e conferência do reator.</t>
        </is>
      </c>
      <c r="D235" t="inlineStr">
        <is>
          <t>Sede Administrativa</t>
        </is>
      </c>
      <c r="E235" t="inlineStr">
        <is>
          <t>Baixa</t>
        </is>
      </c>
      <c r="F235" t="inlineStr">
        <is>
          <t>Eduardo Salles</t>
        </is>
      </c>
      <c r="G235" t="inlineStr">
        <is>
          <t>Fechada</t>
        </is>
      </c>
      <c r="H235" s="5" t="n">
        <v>45730.37986111111</v>
      </c>
    </row>
    <row r="236">
      <c r="A236" t="inlineStr">
        <is>
          <t>OS-1734</t>
        </is>
      </c>
      <c r="B236" t="inlineStr">
        <is>
          <t>Portão da área A-19 emperrado</t>
        </is>
      </c>
      <c r="C236" t="inlineStr">
        <is>
          <t>Portão de acesso da área A-19 exige força excessiva para abrir.</t>
        </is>
      </c>
      <c r="D236" t="inlineStr">
        <is>
          <t>Oficina Elétrica Central</t>
        </is>
      </c>
      <c r="E236" t="inlineStr">
        <is>
          <t>Média</t>
        </is>
      </c>
      <c r="F236" t="inlineStr">
        <is>
          <t>Zeca Moraes</t>
        </is>
      </c>
      <c r="G236" t="inlineStr">
        <is>
          <t>Fechada</t>
        </is>
      </c>
      <c r="H236" s="5" t="n">
        <v>45730.68958333333</v>
      </c>
    </row>
    <row r="237">
      <c r="A237" t="inlineStr">
        <is>
          <t>OS-1735</t>
        </is>
      </c>
      <c r="B237" t="inlineStr">
        <is>
          <t>Tomada sem energia na sala P-24</t>
        </is>
      </c>
      <c r="C237" t="inlineStr">
        <is>
          <t>Tomada de serviço da sala P-24 sem tensão.</t>
        </is>
      </c>
      <c r="D237" t="inlineStr">
        <is>
          <t>Captação Rio Verde</t>
        </is>
      </c>
      <c r="E237" t="inlineStr">
        <is>
          <t>Baixa</t>
        </is>
      </c>
      <c r="F237" t="inlineStr">
        <is>
          <t>Daniela Pires</t>
        </is>
      </c>
      <c r="G237" t="inlineStr">
        <is>
          <t>Fechada</t>
        </is>
      </c>
      <c r="H237" s="5" t="n">
        <v>45731.00486111111</v>
      </c>
    </row>
    <row r="238">
      <c r="A238" t="inlineStr">
        <is>
          <t>OS-1736</t>
        </is>
      </c>
      <c r="B238" t="inlineStr">
        <is>
          <t>Correia do ventilador M-29 desgastada</t>
        </is>
      </c>
      <c r="C238" t="inlineStr">
        <is>
          <t>Correia do ventilador M-29 com trincas visíveis e folga excessiva.</t>
        </is>
      </c>
      <c r="D238" t="inlineStr">
        <is>
          <t>Base Operacional Litoral</t>
        </is>
      </c>
      <c r="E238" t="inlineStr">
        <is>
          <t>Crítica</t>
        </is>
      </c>
      <c r="F238" t="inlineStr">
        <is>
          <t>Flávio Gusmão</t>
        </is>
      </c>
      <c r="G238" t="inlineStr">
        <is>
          <t>Fechada</t>
        </is>
      </c>
      <c r="H238" s="5" t="n">
        <v>45731.31944444445</v>
      </c>
    </row>
    <row r="239">
      <c r="A239" t="inlineStr">
        <is>
          <t>OS-1737</t>
        </is>
      </c>
      <c r="B239" t="inlineStr">
        <is>
          <t>Portão da área C-35 emperrado</t>
        </is>
      </c>
      <c r="C239" t="inlineStr">
        <is>
          <t>Portão de acesso da área C-35 exige força excessiva para abrir.</t>
        </is>
      </c>
      <c r="D239" t="inlineStr">
        <is>
          <t>Subestação Leste</t>
        </is>
      </c>
      <c r="E239" t="inlineStr">
        <is>
          <t>Baixa</t>
        </is>
      </c>
      <c r="F239" t="inlineStr">
        <is>
          <t>Marcos Vinícius Rocha</t>
        </is>
      </c>
      <c r="G239" t="inlineStr">
        <is>
          <t>Fechada</t>
        </is>
      </c>
      <c r="H239" s="5" t="n">
        <v>45731.61388888889</v>
      </c>
    </row>
    <row r="240">
      <c r="A240" t="inlineStr">
        <is>
          <t>OS-1738</t>
        </is>
      </c>
      <c r="B240" t="inlineStr">
        <is>
          <t>Ar-condicionado da sala R-30 sem refrigerar</t>
        </is>
      </c>
      <c r="C240" t="inlineStr">
        <is>
          <t>Ar-condicionado da sala de painéis R-30 ligado sem refrigerar.</t>
        </is>
      </c>
      <c r="D240" t="inlineStr">
        <is>
          <t>Usina Fotovoltaica Cerrado</t>
        </is>
      </c>
      <c r="E240" t="inlineStr">
        <is>
          <t>Baixa</t>
        </is>
      </c>
      <c r="F240" t="inlineStr">
        <is>
          <t>Igor Fonseca</t>
        </is>
      </c>
      <c r="G240" t="inlineStr">
        <is>
          <t>Fechada</t>
        </is>
      </c>
      <c r="H240" s="5" t="n">
        <v>45731.91458333333</v>
      </c>
    </row>
    <row r="241">
      <c r="A241" t="inlineStr">
        <is>
          <t>OS-1739</t>
        </is>
      </c>
      <c r="B241" t="inlineStr">
        <is>
          <t>Falha de comunicação no CLP H-39</t>
        </is>
      </c>
      <c r="C241" t="inlineStr">
        <is>
          <t>CLP H-39 perde comunicação com o supervisório em intervalos irregulares.</t>
        </is>
      </c>
      <c r="D241" t="inlineStr">
        <is>
          <t>ETA Ribeirão Fundo</t>
        </is>
      </c>
      <c r="E241" t="inlineStr">
        <is>
          <t>Baixa</t>
        </is>
      </c>
      <c r="F241" t="inlineStr">
        <is>
          <t>Gabriel Matos</t>
        </is>
      </c>
      <c r="G241" t="inlineStr">
        <is>
          <t>Fechada</t>
        </is>
      </c>
      <c r="H241" s="5" t="n">
        <v>45732.23819444444</v>
      </c>
    </row>
    <row r="242">
      <c r="A242" t="inlineStr">
        <is>
          <t>OS-1740</t>
        </is>
      </c>
      <c r="B242" t="inlineStr">
        <is>
          <t>Troca de filtro do compressor A-30</t>
        </is>
      </c>
      <c r="C242" t="inlineStr">
        <is>
          <t>Filtro de ar do compressor A-30 saturado. Substituição preventiva.</t>
        </is>
      </c>
      <c r="D242" t="inlineStr">
        <is>
          <t>Adutora Tronco Sul</t>
        </is>
      </c>
      <c r="E242" t="inlineStr">
        <is>
          <t>Média</t>
        </is>
      </c>
      <c r="F242" t="inlineStr">
        <is>
          <t>Heloísa Barreto</t>
        </is>
      </c>
      <c r="G242" t="inlineStr">
        <is>
          <t>Fechada</t>
        </is>
      </c>
      <c r="H242" s="5" t="n">
        <v>45732.53263888889</v>
      </c>
    </row>
    <row r="243">
      <c r="A243" t="inlineStr">
        <is>
          <t>OS-1741</t>
        </is>
      </c>
      <c r="B243" t="inlineStr">
        <is>
          <t>Lâmpada queimada na área F-13</t>
        </is>
      </c>
      <c r="C243" t="inlineStr">
        <is>
          <t>Iluminação da área F-13 sem funcionar. Reposição de lâmpada e conferência do reator.</t>
        </is>
      </c>
      <c r="D243" t="inlineStr">
        <is>
          <t>Centro de Operações</t>
        </is>
      </c>
      <c r="E243" t="inlineStr">
        <is>
          <t>Baixa</t>
        </is>
      </c>
      <c r="F243" t="inlineStr">
        <is>
          <t>Bernardo Leal</t>
        </is>
      </c>
      <c r="G243" t="inlineStr">
        <is>
          <t>Fechada</t>
        </is>
      </c>
      <c r="H243" s="5" t="n">
        <v>45732.83333333334</v>
      </c>
    </row>
    <row r="244">
      <c r="A244" t="inlineStr">
        <is>
          <t>OS-1742</t>
        </is>
      </c>
      <c r="B244" t="inlineStr">
        <is>
          <t>Portão da área G-14 emperrado</t>
        </is>
      </c>
      <c r="C244" t="inlineStr">
        <is>
          <t>Portão de acesso da área G-14 exige força excessiva para abrir.</t>
        </is>
      </c>
      <c r="D244" t="inlineStr">
        <is>
          <t>Base Operacional Norte</t>
        </is>
      </c>
      <c r="E244" t="inlineStr">
        <is>
          <t>Crítica</t>
        </is>
      </c>
      <c r="F244" t="inlineStr">
        <is>
          <t>Murilo Paiva</t>
        </is>
      </c>
      <c r="G244" t="inlineStr">
        <is>
          <t>Fechada</t>
        </is>
      </c>
      <c r="H244" s="5" t="n">
        <v>45733.14166666667</v>
      </c>
    </row>
    <row r="245">
      <c r="A245" t="inlineStr">
        <is>
          <t>OS-1743</t>
        </is>
      </c>
      <c r="B245" t="inlineStr">
        <is>
          <t>Calha entupida no prédio D-36</t>
        </is>
      </c>
      <c r="C245" t="inlineStr">
        <is>
          <t>Calha do prédio D-36 transbordando em dia de chuva.</t>
        </is>
      </c>
      <c r="D245" t="inlineStr">
        <is>
          <t>ETE Vale do Sol</t>
        </is>
      </c>
      <c r="E245" t="inlineStr">
        <is>
          <t>Crítica</t>
        </is>
      </c>
      <c r="F245" t="inlineStr">
        <is>
          <t>Hugo Albuquerque</t>
        </is>
      </c>
      <c r="G245" t="inlineStr">
        <is>
          <t>Fechada</t>
        </is>
      </c>
      <c r="H245" s="5" t="n">
        <v>45733.44583333333</v>
      </c>
    </row>
    <row r="246">
      <c r="A246" t="inlineStr">
        <is>
          <t>OS-1744</t>
        </is>
      </c>
      <c r="B246" t="inlineStr">
        <is>
          <t>Tomada sem energia na sala C-29</t>
        </is>
      </c>
      <c r="C246" t="inlineStr">
        <is>
          <t>Tomada de serviço da sala C-29 sem tensão.</t>
        </is>
      </c>
      <c r="D246" t="inlineStr">
        <is>
          <t>Base Operacional Sul</t>
        </is>
      </c>
      <c r="E246" t="inlineStr">
        <is>
          <t>Média</t>
        </is>
      </c>
      <c r="F246" t="inlineStr">
        <is>
          <t>Alex Nogueira</t>
        </is>
      </c>
      <c r="G246" t="inlineStr">
        <is>
          <t>Fechada</t>
        </is>
      </c>
      <c r="H246" s="5" t="n">
        <v>45733.73888888889</v>
      </c>
    </row>
    <row r="247">
      <c r="A247" t="inlineStr">
        <is>
          <t>OS-1745</t>
        </is>
      </c>
      <c r="B247" t="inlineStr">
        <is>
          <t>Exaustor R-32 parado</t>
        </is>
      </c>
      <c r="C247" t="inlineStr">
        <is>
          <t>Exaustor R-32 não parte. Fusível íntegro.</t>
        </is>
      </c>
      <c r="D247" t="inlineStr">
        <is>
          <t>ETE Rio Claro</t>
        </is>
      </c>
      <c r="E247" t="inlineStr">
        <is>
          <t>Alta</t>
        </is>
      </c>
      <c r="F247" t="inlineStr">
        <is>
          <t>Aline Rocha</t>
        </is>
      </c>
      <c r="G247" t="inlineStr">
        <is>
          <t>Fechada</t>
        </is>
      </c>
      <c r="H247" s="5" t="n">
        <v>45734.04583333333</v>
      </c>
    </row>
    <row r="248">
      <c r="A248" t="inlineStr">
        <is>
          <t>OS-1746</t>
        </is>
      </c>
      <c r="B248" t="inlineStr">
        <is>
          <t>Bomba dosadora H-31 sem recalque</t>
        </is>
      </c>
      <c r="C248" t="inlineStr">
        <is>
          <t>Bomba dosadora H-31 liga mas não dosa. Mangueira sem obstrução aparente.</t>
        </is>
      </c>
      <c r="D248" t="inlineStr">
        <is>
          <t>Reservatório Santa Luzia</t>
        </is>
      </c>
      <c r="E248" t="inlineStr">
        <is>
          <t>Média</t>
        </is>
      </c>
      <c r="F248" t="inlineStr">
        <is>
          <t>Jonas Teles</t>
        </is>
      </c>
      <c r="G248" t="inlineStr">
        <is>
          <t>Fechada</t>
        </is>
      </c>
      <c r="H248" s="5" t="n">
        <v>45734.35069444445</v>
      </c>
    </row>
    <row r="249">
      <c r="A249" t="inlineStr">
        <is>
          <t>OS-1747</t>
        </is>
      </c>
      <c r="B249" t="inlineStr">
        <is>
          <t>Troca de filtro do compressor E-02</t>
        </is>
      </c>
      <c r="C249" t="inlineStr">
        <is>
          <t>Filtro de ar do compressor E-02 saturado. Substituição preventiva.</t>
        </is>
      </c>
      <c r="D249" t="inlineStr">
        <is>
          <t>Reservatório Industrial</t>
        </is>
      </c>
      <c r="E249" t="inlineStr">
        <is>
          <t>Baixa</t>
        </is>
      </c>
      <c r="F249" t="inlineStr">
        <is>
          <t>Glória Sampaio</t>
        </is>
      </c>
      <c r="G249" t="inlineStr">
        <is>
          <t>Fechada</t>
        </is>
      </c>
      <c r="H249" s="5" t="n">
        <v>45734.675</v>
      </c>
    </row>
    <row r="250">
      <c r="A250" t="inlineStr">
        <is>
          <t>OS-1748</t>
        </is>
      </c>
      <c r="B250" t="inlineStr">
        <is>
          <t>Lâmpada queimada na área A-38</t>
        </is>
      </c>
      <c r="C250" t="inlineStr">
        <is>
          <t>Iluminação da área A-38 sem funcionar. Reposição de lâmpada e conferência do reator.</t>
        </is>
      </c>
      <c r="D250" t="inlineStr">
        <is>
          <t>Estação Elevatória Leste</t>
        </is>
      </c>
      <c r="E250" t="inlineStr">
        <is>
          <t>Alta</t>
        </is>
      </c>
      <c r="F250" t="inlineStr">
        <is>
          <t>Danilo Peixoto</t>
        </is>
      </c>
      <c r="G250" t="inlineStr">
        <is>
          <t>Fechada</t>
        </is>
      </c>
      <c r="H250" s="5" t="n">
        <v>45734.97291666667</v>
      </c>
    </row>
    <row r="251">
      <c r="A251" t="inlineStr">
        <is>
          <t>OS-1749</t>
        </is>
      </c>
      <c r="B251" t="inlineStr">
        <is>
          <t>Portão da área C-01 emperrado</t>
        </is>
      </c>
      <c r="C251" t="inlineStr">
        <is>
          <t>Portão de acesso da área C-01 exige força excessiva para abrir.</t>
        </is>
      </c>
      <c r="D251" t="inlineStr">
        <is>
          <t>Estação Elevatória Oeste</t>
        </is>
      </c>
      <c r="E251" t="inlineStr">
        <is>
          <t>Média</t>
        </is>
      </c>
      <c r="F251" t="inlineStr">
        <is>
          <t>Fernanda Quintela</t>
        </is>
      </c>
      <c r="G251" t="inlineStr">
        <is>
          <t>Fechada</t>
        </is>
      </c>
      <c r="H251" s="5" t="n">
        <v>45735.28958333333</v>
      </c>
    </row>
    <row r="252">
      <c r="A252" t="inlineStr">
        <is>
          <t>OS-1750</t>
        </is>
      </c>
      <c r="B252" t="inlineStr">
        <is>
          <t>Ruído anormal no motor F-13</t>
        </is>
      </c>
      <c r="C252" t="inlineStr">
        <is>
          <t>Ruído intermitente no motor F-13 durante a partida. Temperatura normal ao toque.</t>
        </is>
      </c>
      <c r="D252" t="inlineStr">
        <is>
          <t>Oficina Elétrica Central</t>
        </is>
      </c>
      <c r="E252" t="inlineStr">
        <is>
          <t>Média</t>
        </is>
      </c>
      <c r="F252" t="inlineStr">
        <is>
          <t>Ingrid Queiroz</t>
        </is>
      </c>
      <c r="G252" t="inlineStr">
        <is>
          <t>Fechada</t>
        </is>
      </c>
      <c r="H252" s="5" t="n">
        <v>45735.58402777778</v>
      </c>
    </row>
    <row r="253">
      <c r="A253" t="inlineStr">
        <is>
          <t>OS-1751</t>
        </is>
      </c>
      <c r="B253" t="inlineStr">
        <is>
          <t>Tomada sem energia na sala D-02</t>
        </is>
      </c>
      <c r="C253" t="inlineStr">
        <is>
          <t>Tomada de serviço da sala D-02 sem tensão.</t>
        </is>
      </c>
      <c r="D253" t="inlineStr">
        <is>
          <t>Galpão de Materiais</t>
        </is>
      </c>
      <c r="E253" t="inlineStr">
        <is>
          <t>Crítica</t>
        </is>
      </c>
      <c r="F253" t="inlineStr">
        <is>
          <t>Fernanda Quintela</t>
        </is>
      </c>
      <c r="G253" t="inlineStr">
        <is>
          <t>Fechada</t>
        </is>
      </c>
      <c r="H253" s="5" t="n">
        <v>45735.87777777778</v>
      </c>
    </row>
    <row r="254">
      <c r="A254" t="inlineStr">
        <is>
          <t>OS-1752</t>
        </is>
      </c>
      <c r="B254" t="inlineStr">
        <is>
          <t>Lâmpada queimada na área G-03</t>
        </is>
      </c>
      <c r="C254" t="inlineStr">
        <is>
          <t>Iluminação da área G-03 sem funcionar. Reposição de lâmpada e conferência do reator.</t>
        </is>
      </c>
      <c r="D254" t="inlineStr">
        <is>
          <t>Subestação Norte</t>
        </is>
      </c>
      <c r="E254" t="inlineStr">
        <is>
          <t>Média</t>
        </is>
      </c>
      <c r="F254" t="inlineStr">
        <is>
          <t>Yara Medeiros</t>
        </is>
      </c>
      <c r="G254" t="inlineStr">
        <is>
          <t>Fechada</t>
        </is>
      </c>
      <c r="H254" s="5" t="n">
        <v>45736.20347222222</v>
      </c>
    </row>
    <row r="255">
      <c r="A255" t="inlineStr">
        <is>
          <t>OS-1753</t>
        </is>
      </c>
      <c r="B255" t="inlineStr">
        <is>
          <t>Vazamento na bomba P-09</t>
        </is>
      </c>
      <c r="C255" t="inlineStr">
        <is>
          <t>Vazamento pelo selo mecânico da bomba P-09. Piso molhado ao redor da base.</t>
        </is>
      </c>
      <c r="D255" t="inlineStr">
        <is>
          <t>Galpão de Materiais</t>
        </is>
      </c>
      <c r="E255" t="inlineStr">
        <is>
          <t>Crítica</t>
        </is>
      </c>
      <c r="F255" t="inlineStr">
        <is>
          <t>Ingrid Queiroz</t>
        </is>
      </c>
      <c r="G255" t="inlineStr">
        <is>
          <t>Fechada</t>
        </is>
      </c>
      <c r="H255" s="5" t="n">
        <v>45736.48819444444</v>
      </c>
    </row>
    <row r="256">
      <c r="A256" t="inlineStr">
        <is>
          <t>OS-1754</t>
        </is>
      </c>
      <c r="B256" t="inlineStr">
        <is>
          <t>Medidor de vazão D-08 com leitura instável</t>
        </is>
      </c>
      <c r="C256" t="inlineStr">
        <is>
          <t>Medidor de vazão D-08 oscila sem variação de processo.</t>
        </is>
      </c>
      <c r="D256" t="inlineStr">
        <is>
          <t>ETA Serra Azul</t>
        </is>
      </c>
      <c r="E256" t="inlineStr">
        <is>
          <t>Baixa</t>
        </is>
      </c>
      <c r="F256" t="inlineStr">
        <is>
          <t>Juliana Aguiar</t>
        </is>
      </c>
      <c r="G256" t="inlineStr">
        <is>
          <t>Fechada</t>
        </is>
      </c>
      <c r="H256" s="5" t="n">
        <v>45736.79930555556</v>
      </c>
    </row>
    <row r="257">
      <c r="A257" t="inlineStr">
        <is>
          <t>OS-1755</t>
        </is>
      </c>
      <c r="B257" t="inlineStr">
        <is>
          <t>Infiltração na parede da casa de bombas V-21</t>
        </is>
      </c>
      <c r="C257" t="inlineStr">
        <is>
          <t>Mancha de umidade crescente na parede da casa de bombas V-21.</t>
        </is>
      </c>
      <c r="D257" t="inlineStr">
        <is>
          <t>ETE Jardim Bela Vista</t>
        </is>
      </c>
      <c r="E257" t="inlineStr">
        <is>
          <t>Baixa</t>
        </is>
      </c>
      <c r="F257" t="inlineStr">
        <is>
          <t>Priscila Guedes</t>
        </is>
      </c>
      <c r="G257" t="inlineStr">
        <is>
          <t>Fechada</t>
        </is>
      </c>
      <c r="H257" s="5" t="n">
        <v>45737.10555555556</v>
      </c>
    </row>
    <row r="258">
      <c r="A258" t="inlineStr">
        <is>
          <t>OS-1756</t>
        </is>
      </c>
      <c r="B258" t="inlineStr">
        <is>
          <t>Pintura descascada na estrutura A-26</t>
        </is>
      </c>
      <c r="C258" t="inlineStr">
        <is>
          <t>Estrutura metálica A-26 com pontos de corrosão sob a pintura.</t>
        </is>
      </c>
      <c r="D258" t="inlineStr">
        <is>
          <t>Booster Morada do Sol</t>
        </is>
      </c>
      <c r="E258" t="inlineStr">
        <is>
          <t>Baixa</t>
        </is>
      </c>
      <c r="F258" t="inlineStr">
        <is>
          <t>Simone Carvalho</t>
        </is>
      </c>
      <c r="G258" t="inlineStr">
        <is>
          <t>Fechada</t>
        </is>
      </c>
      <c r="H258" s="5" t="n">
        <v>45737.39722222222</v>
      </c>
    </row>
    <row r="259">
      <c r="A259" t="inlineStr">
        <is>
          <t>OS-1757</t>
        </is>
      </c>
      <c r="B259" t="inlineStr">
        <is>
          <t>Ruído anormal no motor M-15</t>
        </is>
      </c>
      <c r="C259" t="inlineStr">
        <is>
          <t>Ruído intermitente no motor M-15 durante a partida. Temperatura normal ao toque.</t>
        </is>
      </c>
      <c r="D259" t="inlineStr">
        <is>
          <t>Base Operacional Sul</t>
        </is>
      </c>
      <c r="E259" t="inlineStr">
        <is>
          <t>Média</t>
        </is>
      </c>
      <c r="F259" t="inlineStr">
        <is>
          <t>Caio Rangel</t>
        </is>
      </c>
      <c r="G259" t="inlineStr">
        <is>
          <t>Fechada</t>
        </is>
      </c>
      <c r="H259" s="5" t="n">
        <v>45737.73958333334</v>
      </c>
    </row>
    <row r="260">
      <c r="A260" t="inlineStr">
        <is>
          <t>OS-1758</t>
        </is>
      </c>
      <c r="B260" t="inlineStr">
        <is>
          <t>Disjuntor desarmando no painel M-27</t>
        </is>
      </c>
      <c r="C260" t="inlineStr">
        <is>
          <t>Disjuntor do painel M-27 desarmou três vezes no turno. Carga dentro do nominal.</t>
        </is>
      </c>
      <c r="D260" t="inlineStr">
        <is>
          <t>Centro de Operações</t>
        </is>
      </c>
      <c r="E260" t="inlineStr">
        <is>
          <t>Média</t>
        </is>
      </c>
      <c r="F260" t="inlineStr">
        <is>
          <t>Zeca Moraes</t>
        </is>
      </c>
      <c r="G260" t="inlineStr">
        <is>
          <t>Fechada</t>
        </is>
      </c>
      <c r="H260" s="5" t="n">
        <v>45738.02083333334</v>
      </c>
    </row>
    <row r="261">
      <c r="A261" t="inlineStr">
        <is>
          <t>OS-1759</t>
        </is>
      </c>
      <c r="B261" t="inlineStr">
        <is>
          <t>Falha de comunicação no CLP R-03</t>
        </is>
      </c>
      <c r="C261" t="inlineStr">
        <is>
          <t>CLP R-03 perde comunicação com o supervisório em intervalos irregulares.</t>
        </is>
      </c>
      <c r="D261" t="inlineStr">
        <is>
          <t>Usina Fotovoltaica Cerrado</t>
        </is>
      </c>
      <c r="E261" t="inlineStr">
        <is>
          <t>Alta</t>
        </is>
      </c>
      <c r="F261" t="inlineStr">
        <is>
          <t>Bernardo Leal</t>
        </is>
      </c>
      <c r="G261" t="inlineStr">
        <is>
          <t>Fechada</t>
        </is>
      </c>
      <c r="H261" s="5" t="n">
        <v>45738.31597222222</v>
      </c>
    </row>
    <row r="262">
      <c r="A262" t="inlineStr">
        <is>
          <t>OS-1760</t>
        </is>
      </c>
      <c r="B262" t="inlineStr">
        <is>
          <t>Aquecimento no mancal do motor C-21</t>
        </is>
      </c>
      <c r="C262" t="inlineStr">
        <is>
          <t>Mancal do motor C-21 acima da temperatura usual na medição com termômetro infravermelho.</t>
        </is>
      </c>
      <c r="D262" t="inlineStr">
        <is>
          <t>Base Operacional Norte</t>
        </is>
      </c>
      <c r="E262" t="inlineStr">
        <is>
          <t>Média</t>
        </is>
      </c>
      <c r="F262" t="inlineStr">
        <is>
          <t>Aline Rocha</t>
        </is>
      </c>
      <c r="G262" t="inlineStr">
        <is>
          <t>Fechada</t>
        </is>
      </c>
      <c r="H262" s="5" t="n">
        <v>45738.625</v>
      </c>
    </row>
    <row r="263">
      <c r="A263" t="inlineStr">
        <is>
          <t>OS-1761</t>
        </is>
      </c>
      <c r="B263" t="inlineStr">
        <is>
          <t>Infiltração na parede da casa de bombas V-07</t>
        </is>
      </c>
      <c r="C263" t="inlineStr">
        <is>
          <t>Mancha de umidade crescente na parede da casa de bombas V-07.</t>
        </is>
      </c>
      <c r="D263" t="inlineStr">
        <is>
          <t>ETA Ribeirão Fundo</t>
        </is>
      </c>
      <c r="E263" t="inlineStr">
        <is>
          <t>Baixa</t>
        </is>
      </c>
      <c r="F263" t="inlineStr">
        <is>
          <t>Yara Medeiros</t>
        </is>
      </c>
      <c r="G263" t="inlineStr">
        <is>
          <t>Fechada</t>
        </is>
      </c>
      <c r="H263" s="5" t="n">
        <v>45738.95694444444</v>
      </c>
    </row>
    <row r="264">
      <c r="A264" t="inlineStr">
        <is>
          <t>OS-1762</t>
        </is>
      </c>
      <c r="B264" t="inlineStr">
        <is>
          <t>Disjuntor desarmando no painel D-25</t>
        </is>
      </c>
      <c r="C264" t="inlineStr">
        <is>
          <t>Disjuntor do painel D-25 desarmou três vezes no turno. Carga dentro do nominal.</t>
        </is>
      </c>
      <c r="D264" t="inlineStr">
        <is>
          <t>ETE Rio Claro</t>
        </is>
      </c>
      <c r="E264" t="inlineStr">
        <is>
          <t>Baixa</t>
        </is>
      </c>
      <c r="F264" t="inlineStr">
        <is>
          <t>Rafael Torres</t>
        </is>
      </c>
      <c r="G264" t="inlineStr">
        <is>
          <t>Fechada</t>
        </is>
      </c>
      <c r="H264" s="5" t="n">
        <v>45739.25277777778</v>
      </c>
    </row>
    <row r="265">
      <c r="A265" t="inlineStr">
        <is>
          <t>OS-1763</t>
        </is>
      </c>
      <c r="B265" t="inlineStr">
        <is>
          <t>Troca de filtro do compressor E-15</t>
        </is>
      </c>
      <c r="C265" t="inlineStr">
        <is>
          <t>Filtro de ar do compressor E-15 saturado. Substituição preventiva.</t>
        </is>
      </c>
      <c r="D265" t="inlineStr">
        <is>
          <t>Galpão de Materiais</t>
        </is>
      </c>
      <c r="E265" t="inlineStr">
        <is>
          <t>Média</t>
        </is>
      </c>
      <c r="F265" t="inlineStr">
        <is>
          <t>Yara Medeiros</t>
        </is>
      </c>
      <c r="G265" t="inlineStr">
        <is>
          <t>Fechada</t>
        </is>
      </c>
      <c r="H265" s="5" t="n">
        <v>45739.54652777778</v>
      </c>
    </row>
    <row r="266">
      <c r="A266" t="inlineStr">
        <is>
          <t>OS-1764</t>
        </is>
      </c>
      <c r="B266" t="inlineStr">
        <is>
          <t>Lâmpada queimada na área R-01</t>
        </is>
      </c>
      <c r="C266" t="inlineStr">
        <is>
          <t>Iluminação da área R-01 sem funcionar. Reposição de lâmpada e conferência do reator.</t>
        </is>
      </c>
      <c r="D266" t="inlineStr">
        <is>
          <t>Base Operacional Norte</t>
        </is>
      </c>
      <c r="E266" t="inlineStr">
        <is>
          <t>Média</t>
        </is>
      </c>
      <c r="F266" t="inlineStr">
        <is>
          <t>Glória Sampaio</t>
        </is>
      </c>
      <c r="G266" t="inlineStr">
        <is>
          <t>Fechada</t>
        </is>
      </c>
      <c r="H266" s="5" t="n">
        <v>45739.83958333333</v>
      </c>
    </row>
    <row r="267">
      <c r="A267" t="inlineStr">
        <is>
          <t>OS-1765</t>
        </is>
      </c>
      <c r="B267" t="inlineStr">
        <is>
          <t>Lâmpada queimada na área P-33</t>
        </is>
      </c>
      <c r="C267" t="inlineStr">
        <is>
          <t>Iluminação da área P-33 sem funcionar. Reposição de lâmpada e conferência do reator.</t>
        </is>
      </c>
      <c r="D267" t="inlineStr">
        <is>
          <t>Reservatório Industrial</t>
        </is>
      </c>
      <c r="E267" t="inlineStr">
        <is>
          <t>Alta</t>
        </is>
      </c>
      <c r="F267" t="inlineStr">
        <is>
          <t>Bernardo Leal</t>
        </is>
      </c>
      <c r="G267" t="inlineStr">
        <is>
          <t>Fechada</t>
        </is>
      </c>
      <c r="H267" s="5" t="n">
        <v>45740.17916666667</v>
      </c>
    </row>
    <row r="268">
      <c r="A268" t="inlineStr">
        <is>
          <t>OS-1766</t>
        </is>
      </c>
      <c r="B268" t="inlineStr">
        <is>
          <t>Ruído anormal no motor G-16</t>
        </is>
      </c>
      <c r="C268" t="inlineStr">
        <is>
          <t>Ruído intermitente no motor G-16 durante a partida. Temperatura normal ao toque.</t>
        </is>
      </c>
      <c r="D268" t="inlineStr">
        <is>
          <t>Reservatório Industrial</t>
        </is>
      </c>
      <c r="E268" t="inlineStr">
        <is>
          <t>Média</t>
        </is>
      </c>
      <c r="F268" t="inlineStr">
        <is>
          <t>Simone Carvalho</t>
        </is>
      </c>
      <c r="G268" t="inlineStr">
        <is>
          <t>Fechada</t>
        </is>
      </c>
      <c r="H268" s="5" t="n">
        <v>45740.45069444444</v>
      </c>
    </row>
    <row r="269">
      <c r="A269" t="inlineStr">
        <is>
          <t>OS-1767</t>
        </is>
      </c>
      <c r="B269" t="inlineStr">
        <is>
          <t>Disjuntor desarmando no painel T-05</t>
        </is>
      </c>
      <c r="C269" t="inlineStr">
        <is>
          <t>Disjuntor do painel T-05 desarmou três vezes no turno. Carga dentro do nominal.</t>
        </is>
      </c>
      <c r="D269" t="inlineStr">
        <is>
          <t>ETA Ribeirão Fundo</t>
        </is>
      </c>
      <c r="E269" t="inlineStr">
        <is>
          <t>Média</t>
        </is>
      </c>
      <c r="F269" t="inlineStr">
        <is>
          <t>Kleber Antunes</t>
        </is>
      </c>
      <c r="G269" t="inlineStr">
        <is>
          <t>Fechada</t>
        </is>
      </c>
      <c r="H269" s="5" t="n">
        <v>45740.76875</v>
      </c>
    </row>
    <row r="270">
      <c r="A270" t="inlineStr">
        <is>
          <t>OS-1768</t>
        </is>
      </c>
      <c r="B270" t="inlineStr">
        <is>
          <t>Bomba dosadora E-25 sem recalque</t>
        </is>
      </c>
      <c r="C270" t="inlineStr">
        <is>
          <t>Bomba dosadora E-25 liga mas não dosa. Mangueira sem obstrução aparente.</t>
        </is>
      </c>
      <c r="D270" t="inlineStr">
        <is>
          <t>Subestação Norte</t>
        </is>
      </c>
      <c r="E270" t="inlineStr">
        <is>
          <t>Média</t>
        </is>
      </c>
      <c r="F270" t="inlineStr">
        <is>
          <t>Marcos Vinícius Rocha</t>
        </is>
      </c>
      <c r="G270" t="inlineStr">
        <is>
          <t>Fechada</t>
        </is>
      </c>
      <c r="H270" s="5" t="n">
        <v>45741.06944444445</v>
      </c>
    </row>
    <row r="271">
      <c r="A271" t="inlineStr">
        <is>
          <t>OS-1769</t>
        </is>
      </c>
      <c r="B271" t="inlineStr">
        <is>
          <t>Falha de comunicação no CLP F-12</t>
        </is>
      </c>
      <c r="C271" t="inlineStr">
        <is>
          <t>CLP F-12 perde comunicação com o supervisório em intervalos irregulares.</t>
        </is>
      </c>
      <c r="D271" t="inlineStr">
        <is>
          <t>ETA Central</t>
        </is>
      </c>
      <c r="E271" t="inlineStr">
        <is>
          <t>Alta</t>
        </is>
      </c>
      <c r="F271" t="inlineStr">
        <is>
          <t>Jonas Teles</t>
        </is>
      </c>
      <c r="G271" t="inlineStr">
        <is>
          <t>Fechada</t>
        </is>
      </c>
      <c r="H271" s="5" t="n">
        <v>45741.39583333334</v>
      </c>
    </row>
    <row r="272">
      <c r="A272" t="inlineStr">
        <is>
          <t>OS-1770</t>
        </is>
      </c>
      <c r="B272" t="inlineStr">
        <is>
          <t>Pintura descascada na estrutura E-14</t>
        </is>
      </c>
      <c r="C272" t="inlineStr">
        <is>
          <t>Estrutura metálica E-14 com pontos de corrosão sob a pintura.</t>
        </is>
      </c>
      <c r="D272" t="inlineStr">
        <is>
          <t>Reservatório Santa Luzia</t>
        </is>
      </c>
      <c r="E272" t="inlineStr">
        <is>
          <t>Baixa</t>
        </is>
      </c>
      <c r="F272" t="inlineStr">
        <is>
          <t>Otávio Lacerda</t>
        </is>
      </c>
      <c r="G272" t="inlineStr">
        <is>
          <t>Fechada</t>
        </is>
      </c>
      <c r="H272" s="5" t="n">
        <v>45741.66527777778</v>
      </c>
    </row>
    <row r="273">
      <c r="A273" t="inlineStr">
        <is>
          <t>OS-1771</t>
        </is>
      </c>
      <c r="B273" t="inlineStr">
        <is>
          <t>Ar-condicionado da sala H-31 sem refrigerar</t>
        </is>
      </c>
      <c r="C273" t="inlineStr">
        <is>
          <t>Ar-condicionado da sala de painéis H-31 ligado sem refrigerar.</t>
        </is>
      </c>
      <c r="D273" t="inlineStr">
        <is>
          <t>Subestação Leste</t>
        </is>
      </c>
      <c r="E273" t="inlineStr">
        <is>
          <t>Média</t>
        </is>
      </c>
      <c r="F273" t="inlineStr">
        <is>
          <t>Simone Carvalho</t>
        </is>
      </c>
      <c r="G273" t="inlineStr">
        <is>
          <t>Fechada</t>
        </is>
      </c>
      <c r="H273" s="5" t="n">
        <v>45741.97222222222</v>
      </c>
    </row>
    <row r="274">
      <c r="A274" t="inlineStr">
        <is>
          <t>OS-1772</t>
        </is>
      </c>
      <c r="B274" t="inlineStr">
        <is>
          <t>Portão da área A-07 emperrado</t>
        </is>
      </c>
      <c r="C274" t="inlineStr">
        <is>
          <t>Portão de acesso da área A-07 exige força excessiva para abrir.</t>
        </is>
      </c>
      <c r="D274" t="inlineStr">
        <is>
          <t>Galpão de Materiais</t>
        </is>
      </c>
      <c r="E274" t="inlineStr">
        <is>
          <t>Média</t>
        </is>
      </c>
      <c r="F274" t="inlineStr">
        <is>
          <t>Vagner Pacheco</t>
        </is>
      </c>
      <c r="G274" t="inlineStr">
        <is>
          <t>Fechada</t>
        </is>
      </c>
      <c r="H274" s="5" t="n">
        <v>45742.31180555555</v>
      </c>
    </row>
    <row r="275">
      <c r="A275" t="inlineStr">
        <is>
          <t>OS-1773</t>
        </is>
      </c>
      <c r="B275" t="inlineStr">
        <is>
          <t>Calha entupida no prédio A-11</t>
        </is>
      </c>
      <c r="C275" t="inlineStr">
        <is>
          <t>Calha do prédio A-11 transbordando em dia de chuva.</t>
        </is>
      </c>
      <c r="D275" t="inlineStr">
        <is>
          <t>Booster Parque das Águas</t>
        </is>
      </c>
      <c r="E275" t="inlineStr">
        <is>
          <t>Média</t>
        </is>
      </c>
      <c r="F275" t="inlineStr">
        <is>
          <t>Simone Carvalho</t>
        </is>
      </c>
      <c r="G275" t="inlineStr">
        <is>
          <t>Fechada</t>
        </is>
      </c>
      <c r="H275" s="5" t="n">
        <v>45742.60486111111</v>
      </c>
    </row>
    <row r="276">
      <c r="A276" t="inlineStr">
        <is>
          <t>OS-1774</t>
        </is>
      </c>
      <c r="B276" t="inlineStr">
        <is>
          <t>Vazamento na bomba T-40</t>
        </is>
      </c>
      <c r="C276" t="inlineStr">
        <is>
          <t>Vazamento pelo selo mecânico da bomba T-40. Piso molhado ao redor da base.</t>
        </is>
      </c>
      <c r="D276" t="inlineStr">
        <is>
          <t>Captação Lagoa Seca</t>
        </is>
      </c>
      <c r="E276" t="inlineStr">
        <is>
          <t>Baixa</t>
        </is>
      </c>
      <c r="F276" t="inlineStr">
        <is>
          <t>Larissa Bezerra</t>
        </is>
      </c>
      <c r="G276" t="inlineStr">
        <is>
          <t>Fechada</t>
        </is>
      </c>
      <c r="H276" s="5" t="n">
        <v>45742.88680555556</v>
      </c>
    </row>
    <row r="277">
      <c r="A277" t="inlineStr">
        <is>
          <t>OS-1775</t>
        </is>
      </c>
      <c r="B277" t="inlineStr">
        <is>
          <t>Infiltração na parede da casa de bombas V-36</t>
        </is>
      </c>
      <c r="C277" t="inlineStr">
        <is>
          <t>Mancha de umidade crescente na parede da casa de bombas V-36.</t>
        </is>
      </c>
      <c r="D277" t="inlineStr">
        <is>
          <t>Torre de Telecomunicação Morro Alto</t>
        </is>
      </c>
      <c r="E277" t="inlineStr">
        <is>
          <t>Média</t>
        </is>
      </c>
      <c r="F277" t="inlineStr">
        <is>
          <t>Flávio Gusmão</t>
        </is>
      </c>
      <c r="G277" t="inlineStr">
        <is>
          <t>Fechada</t>
        </is>
      </c>
      <c r="H277" s="5" t="n">
        <v>45743.22013888889</v>
      </c>
    </row>
    <row r="278">
      <c r="A278" t="inlineStr">
        <is>
          <t>OS-1776</t>
        </is>
      </c>
      <c r="B278" t="inlineStr">
        <is>
          <t>Vazamento de óleo no redutor M-28</t>
        </is>
      </c>
      <c r="C278" t="inlineStr">
        <is>
          <t>Gotejamento de óleo no redutor M-28. Nível ainda dentro da faixa.</t>
        </is>
      </c>
      <c r="D278" t="inlineStr">
        <is>
          <t>Reservatório Alto da Colina</t>
        </is>
      </c>
      <c r="E278" t="inlineStr">
        <is>
          <t>Média</t>
        </is>
      </c>
      <c r="F278" t="inlineStr">
        <is>
          <t>Danilo Peixoto</t>
        </is>
      </c>
      <c r="G278" t="inlineStr">
        <is>
          <t>Fechada</t>
        </is>
      </c>
      <c r="H278" s="5" t="n">
        <v>45743.53611111111</v>
      </c>
    </row>
    <row r="279">
      <c r="A279" t="inlineStr">
        <is>
          <t>OS-1777</t>
        </is>
      </c>
      <c r="B279" t="inlineStr">
        <is>
          <t>Aquecimento no mancal do motor H-18</t>
        </is>
      </c>
      <c r="C279" t="inlineStr">
        <is>
          <t>Mancal do motor H-18 acima da temperatura usual na medição com termômetro infravermelho.</t>
        </is>
      </c>
      <c r="D279" t="inlineStr">
        <is>
          <t>Estação de Bombeamento Vila Nova</t>
        </is>
      </c>
      <c r="E279" t="inlineStr">
        <is>
          <t>Baixa</t>
        </is>
      </c>
      <c r="F279" t="inlineStr">
        <is>
          <t>Igor Fonseca</t>
        </is>
      </c>
      <c r="G279" t="inlineStr">
        <is>
          <t>Fechada</t>
        </is>
      </c>
      <c r="H279" s="5" t="n">
        <v>45743.80069444444</v>
      </c>
    </row>
    <row r="280">
      <c r="A280" t="inlineStr">
        <is>
          <t>OS-1778</t>
        </is>
      </c>
      <c r="B280" t="inlineStr">
        <is>
          <t>Calha entupida no prédio R-02</t>
        </is>
      </c>
      <c r="C280" t="inlineStr">
        <is>
          <t>Calha do prédio R-02 transbordando em dia de chuva.</t>
        </is>
      </c>
      <c r="D280" t="inlineStr">
        <is>
          <t>Subestação Oeste</t>
        </is>
      </c>
      <c r="E280" t="inlineStr">
        <is>
          <t>Média</t>
        </is>
      </c>
      <c r="F280" t="inlineStr">
        <is>
          <t>Juliana Aguiar</t>
        </is>
      </c>
      <c r="G280" t="inlineStr">
        <is>
          <t>Fechada</t>
        </is>
      </c>
      <c r="H280" s="5" t="n">
        <v>45744.12777777778</v>
      </c>
    </row>
    <row r="281">
      <c r="A281" t="inlineStr">
        <is>
          <t>OS-1779</t>
        </is>
      </c>
      <c r="B281" t="inlineStr">
        <is>
          <t>Vazamento de óleo no redutor G-29</t>
        </is>
      </c>
      <c r="C281" t="inlineStr">
        <is>
          <t>Gotejamento de óleo no redutor G-29. Nível ainda dentro da faixa.</t>
        </is>
      </c>
      <c r="D281" t="inlineStr">
        <is>
          <t>Subestação Sul</t>
        </is>
      </c>
      <c r="E281" t="inlineStr">
        <is>
          <t>Média</t>
        </is>
      </c>
      <c r="F281" t="inlineStr">
        <is>
          <t>Juliana Aguiar</t>
        </is>
      </c>
      <c r="G281" t="inlineStr">
        <is>
          <t>Fechada</t>
        </is>
      </c>
      <c r="H281" s="5" t="n">
        <v>45744.42361111111</v>
      </c>
    </row>
    <row r="282">
      <c r="A282" t="inlineStr">
        <is>
          <t>OS-1780</t>
        </is>
      </c>
      <c r="B282" t="inlineStr">
        <is>
          <t>Troca de filtro do compressor V-20</t>
        </is>
      </c>
      <c r="C282" t="inlineStr">
        <is>
          <t>Filtro de ar do compressor V-20 saturado. Substituição preventiva.</t>
        </is>
      </c>
      <c r="D282" t="inlineStr">
        <is>
          <t>ETA Ribeirão Fundo</t>
        </is>
      </c>
      <c r="E282" t="inlineStr">
        <is>
          <t>Baixa</t>
        </is>
      </c>
      <c r="F282" t="inlineStr">
        <is>
          <t>Wesley Cardoso</t>
        </is>
      </c>
      <c r="G282" t="inlineStr">
        <is>
          <t>Fechada</t>
        </is>
      </c>
      <c r="H282" s="5" t="n">
        <v>45744.74097222222</v>
      </c>
    </row>
    <row r="283">
      <c r="A283" t="inlineStr">
        <is>
          <t>OS-1781</t>
        </is>
      </c>
      <c r="B283" t="inlineStr">
        <is>
          <t>Bomba dosadora F-05 sem recalque</t>
        </is>
      </c>
      <c r="C283" t="inlineStr">
        <is>
          <t>Bomba dosadora F-05 liga mas não dosa. Mangueira sem obstrução aparente.</t>
        </is>
      </c>
      <c r="D283" t="inlineStr">
        <is>
          <t>Estação de Bombeamento Vila Nova</t>
        </is>
      </c>
      <c r="E283" t="inlineStr">
        <is>
          <t>Baixa</t>
        </is>
      </c>
      <c r="F283" t="inlineStr">
        <is>
          <t>Priscila Guedes</t>
        </is>
      </c>
      <c r="G283" t="inlineStr">
        <is>
          <t>Fechada</t>
        </is>
      </c>
      <c r="H283" s="5" t="n">
        <v>45745.02916666667</v>
      </c>
    </row>
    <row r="284">
      <c r="A284" t="inlineStr">
        <is>
          <t>OS-1782</t>
        </is>
      </c>
      <c r="B284" t="inlineStr">
        <is>
          <t>Aquecimento no mancal do motor A-12</t>
        </is>
      </c>
      <c r="C284" t="inlineStr">
        <is>
          <t>Mancal do motor A-12 acima da temperatura usual na medição com termômetro infravermelho.</t>
        </is>
      </c>
      <c r="D284" t="inlineStr">
        <is>
          <t>Reservatório Santa Luzia</t>
        </is>
      </c>
      <c r="E284" t="inlineStr">
        <is>
          <t>Baixa</t>
        </is>
      </c>
      <c r="F284" t="inlineStr">
        <is>
          <t>Priscila Guedes</t>
        </is>
      </c>
      <c r="G284" t="inlineStr">
        <is>
          <t>Fechada</t>
        </is>
      </c>
      <c r="H284" s="5" t="n">
        <v>45745.34583333333</v>
      </c>
    </row>
    <row r="285">
      <c r="A285" t="inlineStr">
        <is>
          <t>OS-1783</t>
        </is>
      </c>
      <c r="B285" t="inlineStr">
        <is>
          <t>Vazamento na bomba M-08</t>
        </is>
      </c>
      <c r="C285" t="inlineStr">
        <is>
          <t>Vazamento pelo selo mecânico da bomba M-08. Piso molhado ao redor da base.</t>
        </is>
      </c>
      <c r="D285" t="inlineStr">
        <is>
          <t>ETA Serra Azul</t>
        </is>
      </c>
      <c r="E285" t="inlineStr">
        <is>
          <t>Baixa</t>
        </is>
      </c>
      <c r="F285" t="inlineStr">
        <is>
          <t>Danilo Peixoto</t>
        </is>
      </c>
      <c r="G285" t="inlineStr">
        <is>
          <t>Fechada</t>
        </is>
      </c>
      <c r="H285" s="5" t="n">
        <v>45745.63819444444</v>
      </c>
    </row>
    <row r="286">
      <c r="A286" t="inlineStr">
        <is>
          <t>OS-1784</t>
        </is>
      </c>
      <c r="B286" t="inlineStr">
        <is>
          <t>Portão da área T-17 emperrado</t>
        </is>
      </c>
      <c r="C286" t="inlineStr">
        <is>
          <t>Portão de acesso da área T-17 exige força excessiva para abrir.</t>
        </is>
      </c>
      <c r="D286" t="inlineStr">
        <is>
          <t>Pátio de Veículos</t>
        </is>
      </c>
      <c r="E286" t="inlineStr">
        <is>
          <t>Alta</t>
        </is>
      </c>
      <c r="F286" t="inlineStr">
        <is>
          <t>Danilo Peixoto</t>
        </is>
      </c>
      <c r="G286" t="inlineStr">
        <is>
          <t>Fechada</t>
        </is>
      </c>
      <c r="H286" s="5" t="n">
        <v>45745.95277777778</v>
      </c>
    </row>
    <row r="287">
      <c r="A287" t="inlineStr">
        <is>
          <t>OS-1785</t>
        </is>
      </c>
      <c r="B287" t="inlineStr">
        <is>
          <t>Válvula R-19 não fecha por completo</t>
        </is>
      </c>
      <c r="C287" t="inlineStr">
        <is>
          <t>Válvula R-19 com passagem residual mesmo totalmente fechada. Possível desgaste da sede.</t>
        </is>
      </c>
      <c r="D287" t="inlineStr">
        <is>
          <t>Subestação Sul</t>
        </is>
      </c>
      <c r="E287" t="inlineStr">
        <is>
          <t>Média</t>
        </is>
      </c>
      <c r="F287" t="inlineStr">
        <is>
          <t>Lívia Montenegro</t>
        </is>
      </c>
      <c r="G287" t="inlineStr">
        <is>
          <t>Fechada</t>
        </is>
      </c>
      <c r="H287" s="5" t="n">
        <v>45746.24097222222</v>
      </c>
    </row>
    <row r="288">
      <c r="A288" t="inlineStr">
        <is>
          <t>OS-1786</t>
        </is>
      </c>
      <c r="B288" t="inlineStr">
        <is>
          <t>Vazamento na bomba F-05</t>
        </is>
      </c>
      <c r="C288" t="inlineStr">
        <is>
          <t>Vazamento pelo selo mecânico da bomba F-05. Piso molhado ao redor da base.</t>
        </is>
      </c>
      <c r="D288" t="inlineStr">
        <is>
          <t>Estação de Bombeamento Três Pontes</t>
        </is>
      </c>
      <c r="E288" t="inlineStr">
        <is>
          <t>Baixa</t>
        </is>
      </c>
      <c r="F288" t="inlineStr">
        <is>
          <t>Igor Fonseca</t>
        </is>
      </c>
      <c r="G288" t="inlineStr">
        <is>
          <t>Fechada</t>
        </is>
      </c>
      <c r="H288" s="5" t="n">
        <v>45746.58680555555</v>
      </c>
    </row>
    <row r="289">
      <c r="A289" t="inlineStr">
        <is>
          <t>OS-1787</t>
        </is>
      </c>
      <c r="B289" t="inlineStr">
        <is>
          <t>Tomada sem energia na sala D-32</t>
        </is>
      </c>
      <c r="C289" t="inlineStr">
        <is>
          <t>Tomada de serviço da sala D-32 sem tensão.</t>
        </is>
      </c>
      <c r="D289" t="inlineStr">
        <is>
          <t>Adutora Tronco Sul</t>
        </is>
      </c>
      <c r="E289" t="inlineStr">
        <is>
          <t>Baixa</t>
        </is>
      </c>
      <c r="F289" t="inlineStr">
        <is>
          <t>Fernanda Quintela</t>
        </is>
      </c>
      <c r="G289" t="inlineStr">
        <is>
          <t>Fechada</t>
        </is>
      </c>
      <c r="H289" s="5" t="n">
        <v>45746.86458333334</v>
      </c>
    </row>
    <row r="290">
      <c r="A290" t="inlineStr">
        <is>
          <t>OS-1788</t>
        </is>
      </c>
      <c r="B290" t="inlineStr">
        <is>
          <t>Portão da área M-34 emperrado</t>
        </is>
      </c>
      <c r="C290" t="inlineStr">
        <is>
          <t>Portão de acesso da área M-34 exige força excessiva para abrir.</t>
        </is>
      </c>
      <c r="D290" t="inlineStr">
        <is>
          <t>Reservatório Alto da Colina</t>
        </is>
      </c>
      <c r="E290" t="inlineStr">
        <is>
          <t>Baixa</t>
        </is>
      </c>
      <c r="F290" t="inlineStr">
        <is>
          <t>Thiago Bastos</t>
        </is>
      </c>
      <c r="G290" t="inlineStr">
        <is>
          <t>Fechada</t>
        </is>
      </c>
      <c r="H290" s="5" t="n">
        <v>45747.18888888889</v>
      </c>
    </row>
    <row r="291">
      <c r="A291" t="inlineStr">
        <is>
          <t>OS-1789</t>
        </is>
      </c>
      <c r="B291" t="inlineStr">
        <is>
          <t>Falha de comunicação no CLP T-25</t>
        </is>
      </c>
      <c r="C291" t="inlineStr">
        <is>
          <t>CLP T-25 perde comunicação com o supervisório em intervalos irregulares.</t>
        </is>
      </c>
      <c r="D291" t="inlineStr">
        <is>
          <t>Pátio de Veículos</t>
        </is>
      </c>
      <c r="E291" t="inlineStr">
        <is>
          <t>Baixa</t>
        </is>
      </c>
      <c r="F291" t="inlineStr">
        <is>
          <t>Aline Rocha</t>
        </is>
      </c>
      <c r="G291" t="inlineStr">
        <is>
          <t>Fechada</t>
        </is>
      </c>
      <c r="H291" s="5" t="n">
        <v>45747.46736111111</v>
      </c>
    </row>
    <row r="292">
      <c r="A292" t="inlineStr">
        <is>
          <t>OS-1790</t>
        </is>
      </c>
      <c r="B292" t="inlineStr">
        <is>
          <t>Falha de comunicação no CLP R-14</t>
        </is>
      </c>
      <c r="C292" t="inlineStr">
        <is>
          <t>CLP R-14 perde comunicação com o supervisório em intervalos irregulares.</t>
        </is>
      </c>
      <c r="D292" t="inlineStr">
        <is>
          <t>Oficina Mecânica Central</t>
        </is>
      </c>
      <c r="E292" t="inlineStr">
        <is>
          <t>Crítica</t>
        </is>
      </c>
      <c r="F292" t="inlineStr">
        <is>
          <t>Natália Cordeiro</t>
        </is>
      </c>
      <c r="G292" t="inlineStr">
        <is>
          <t>Fechada</t>
        </is>
      </c>
      <c r="H292" s="5" t="n">
        <v>45747.79097222222</v>
      </c>
    </row>
    <row r="293">
      <c r="A293" t="inlineStr">
        <is>
          <t>OS-1791</t>
        </is>
      </c>
      <c r="B293" t="inlineStr">
        <is>
          <t>Aquecimento no mancal do motor H-07</t>
        </is>
      </c>
      <c r="C293" t="inlineStr">
        <is>
          <t>Mancal do motor H-07 acima da temperatura usual na medição com termômetro infravermelho.</t>
        </is>
      </c>
      <c r="D293" t="inlineStr">
        <is>
          <t>Subestação Sul</t>
        </is>
      </c>
      <c r="E293" t="inlineStr">
        <is>
          <t>Baixa</t>
        </is>
      </c>
      <c r="F293" t="inlineStr">
        <is>
          <t>Ingrid Queiroz</t>
        </is>
      </c>
      <c r="G293" t="inlineStr">
        <is>
          <t>Fechada</t>
        </is>
      </c>
      <c r="H293" s="5" t="n">
        <v>45748.08611111111</v>
      </c>
    </row>
    <row r="294">
      <c r="A294" t="inlineStr">
        <is>
          <t>OS-1792</t>
        </is>
      </c>
      <c r="B294" t="inlineStr">
        <is>
          <t>Exaustor G-33 parado</t>
        </is>
      </c>
      <c r="C294" t="inlineStr">
        <is>
          <t>Exaustor G-33 não parte. Fusível íntegro.</t>
        </is>
      </c>
      <c r="D294" t="inlineStr">
        <is>
          <t>Base Operacional Sul</t>
        </is>
      </c>
      <c r="E294" t="inlineStr">
        <is>
          <t>Média</t>
        </is>
      </c>
      <c r="F294" t="inlineStr">
        <is>
          <t>Heloísa Barreto</t>
        </is>
      </c>
      <c r="G294" t="inlineStr">
        <is>
          <t>Fechada</t>
        </is>
      </c>
      <c r="H294" s="5" t="n">
        <v>45748.41805555556</v>
      </c>
    </row>
    <row r="295">
      <c r="A295" t="inlineStr">
        <is>
          <t>OS-1793</t>
        </is>
      </c>
      <c r="B295" t="inlineStr">
        <is>
          <t>Troca de filtro do compressor P-24</t>
        </is>
      </c>
      <c r="C295" t="inlineStr">
        <is>
          <t>Filtro de ar do compressor P-24 saturado. Substituição preventiva.</t>
        </is>
      </c>
      <c r="D295" t="inlineStr">
        <is>
          <t>Centro de Operações</t>
        </is>
      </c>
      <c r="E295" t="inlineStr">
        <is>
          <t>Crítica</t>
        </is>
      </c>
      <c r="F295" t="inlineStr">
        <is>
          <t>Larissa Bezerra</t>
        </is>
      </c>
      <c r="G295" t="inlineStr">
        <is>
          <t>Fechada</t>
        </is>
      </c>
      <c r="H295" s="5" t="n">
        <v>45748.68541666667</v>
      </c>
    </row>
    <row r="296">
      <c r="A296" t="inlineStr">
        <is>
          <t>OS-1794</t>
        </is>
      </c>
      <c r="B296" t="inlineStr">
        <is>
          <t>Lâmpada queimada na área G-09</t>
        </is>
      </c>
      <c r="C296" t="inlineStr">
        <is>
          <t>Iluminação da área G-09 sem funcionar. Reposição de lâmpada e conferência do reator.</t>
        </is>
      </c>
      <c r="D296" t="inlineStr">
        <is>
          <t>Pátio de Veículos</t>
        </is>
      </c>
      <c r="E296" t="inlineStr">
        <is>
          <t>Média</t>
        </is>
      </c>
      <c r="F296" t="inlineStr">
        <is>
          <t>Rafael Torres</t>
        </is>
      </c>
      <c r="G296" t="inlineStr">
        <is>
          <t>Fechada</t>
        </is>
      </c>
      <c r="H296" s="5" t="n">
        <v>45749.02638888889</v>
      </c>
    </row>
    <row r="297">
      <c r="A297" t="inlineStr">
        <is>
          <t>OS-1795</t>
        </is>
      </c>
      <c r="B297" t="inlineStr">
        <is>
          <t>Ruído anormal no motor D-27</t>
        </is>
      </c>
      <c r="C297" t="inlineStr">
        <is>
          <t>Ruído intermitente no motor D-27 durante a partida. Temperatura normal ao toque.</t>
        </is>
      </c>
      <c r="D297" t="inlineStr">
        <is>
          <t>Reservatório Industrial</t>
        </is>
      </c>
      <c r="E297" t="inlineStr">
        <is>
          <t>Alta</t>
        </is>
      </c>
      <c r="F297" t="inlineStr">
        <is>
          <t>Wesley Cardoso</t>
        </is>
      </c>
      <c r="G297" t="inlineStr">
        <is>
          <t>Fechada</t>
        </is>
      </c>
      <c r="H297" s="5" t="n">
        <v>45749.32986111111</v>
      </c>
    </row>
    <row r="298">
      <c r="A298" t="inlineStr">
        <is>
          <t>OS-1796</t>
        </is>
      </c>
      <c r="B298" t="inlineStr">
        <is>
          <t>Disjuntor desarmando no painel F-38</t>
        </is>
      </c>
      <c r="C298" t="inlineStr">
        <is>
          <t>Disjuntor do painel F-38 desarmou três vezes no turno. Carga dentro do nominal.</t>
        </is>
      </c>
      <c r="D298" t="inlineStr">
        <is>
          <t>Oficina Elétrica Central</t>
        </is>
      </c>
      <c r="E298" t="inlineStr">
        <is>
          <t>Crítica</t>
        </is>
      </c>
      <c r="F298" t="inlineStr">
        <is>
          <t>Wesley Cardoso</t>
        </is>
      </c>
      <c r="G298" t="inlineStr">
        <is>
          <t>Fechada</t>
        </is>
      </c>
      <c r="H298" s="5" t="n">
        <v>45749.60972222222</v>
      </c>
    </row>
    <row r="299">
      <c r="A299" t="inlineStr">
        <is>
          <t>OS-1797</t>
        </is>
      </c>
      <c r="B299" t="inlineStr">
        <is>
          <t>Exaustor E-04 parado</t>
        </is>
      </c>
      <c r="C299" t="inlineStr">
        <is>
          <t>Exaustor E-04 não parte. Fusível íntegro.</t>
        </is>
      </c>
      <c r="D299" t="inlineStr">
        <is>
          <t>Reservatório Santa Luzia</t>
        </is>
      </c>
      <c r="E299" t="inlineStr">
        <is>
          <t>Alta</t>
        </is>
      </c>
      <c r="F299" t="inlineStr">
        <is>
          <t>Marcos Vinícius Rocha</t>
        </is>
      </c>
      <c r="G299" t="inlineStr">
        <is>
          <t>Fechada</t>
        </is>
      </c>
      <c r="H299" s="5" t="n">
        <v>45749.9125</v>
      </c>
    </row>
    <row r="300">
      <c r="A300" t="inlineStr">
        <is>
          <t>OS-1798</t>
        </is>
      </c>
      <c r="B300" t="inlineStr">
        <is>
          <t>Sensor de nível sem leitura no tanque P-14</t>
        </is>
      </c>
      <c r="C300" t="inlineStr">
        <is>
          <t>Supervisório mostra leitura congelada do sensor de nível do tanque P-14.</t>
        </is>
      </c>
      <c r="D300" t="inlineStr">
        <is>
          <t>Estação Elevatória Leste</t>
        </is>
      </c>
      <c r="E300" t="inlineStr">
        <is>
          <t>Média</t>
        </is>
      </c>
      <c r="F300" t="inlineStr">
        <is>
          <t>Bernardo Leal</t>
        </is>
      </c>
      <c r="G300" t="inlineStr">
        <is>
          <t>Fechada</t>
        </is>
      </c>
      <c r="H300" s="5" t="n">
        <v>45750.23541666667</v>
      </c>
    </row>
    <row r="301">
      <c r="A301" t="inlineStr">
        <is>
          <t>OS-1799</t>
        </is>
      </c>
      <c r="B301" t="inlineStr">
        <is>
          <t>Ar-condicionado da sala M-24 sem refrigerar</t>
        </is>
      </c>
      <c r="C301" t="inlineStr">
        <is>
          <t>Ar-condicionado da sala de painéis M-24 ligado sem refrigerar.</t>
        </is>
      </c>
      <c r="D301" t="inlineStr">
        <is>
          <t>Pátio de Veículos</t>
        </is>
      </c>
      <c r="E301" t="inlineStr">
        <is>
          <t>Média</t>
        </is>
      </c>
      <c r="F301" t="inlineStr">
        <is>
          <t>Priscila Guedes</t>
        </is>
      </c>
      <c r="G301" t="inlineStr">
        <is>
          <t>Fechada</t>
        </is>
      </c>
      <c r="H301" s="5" t="n">
        <v>45750.54236111111</v>
      </c>
    </row>
    <row r="302">
      <c r="A302" t="inlineStr">
        <is>
          <t>OS-1800</t>
        </is>
      </c>
      <c r="B302" t="inlineStr">
        <is>
          <t>Ar-condicionado da sala V-08 sem refrigerar</t>
        </is>
      </c>
      <c r="C302" t="inlineStr">
        <is>
          <t>Ar-condicionado da sala de painéis V-08 ligado sem refrigerar.</t>
        </is>
      </c>
      <c r="D302" t="inlineStr">
        <is>
          <t>ETA Ribeirão Fundo</t>
        </is>
      </c>
      <c r="E302" t="inlineStr">
        <is>
          <t>Alta</t>
        </is>
      </c>
      <c r="F302" t="inlineStr">
        <is>
          <t>Yara Medeiros</t>
        </is>
      </c>
      <c r="G302" t="inlineStr">
        <is>
          <t>Fechada</t>
        </is>
      </c>
      <c r="H302" s="5" t="n">
        <v>45750.83680555555</v>
      </c>
    </row>
    <row r="303">
      <c r="A303" t="inlineStr">
        <is>
          <t>OS-1801</t>
        </is>
      </c>
      <c r="B303" t="inlineStr">
        <is>
          <t>Disjuntor desarmando no painel M-03</t>
        </is>
      </c>
      <c r="C303" t="inlineStr">
        <is>
          <t>Disjuntor do painel M-03 desarmou três vezes no turno. Carga dentro do nominal.</t>
        </is>
      </c>
      <c r="D303" t="inlineStr">
        <is>
          <t>Usina Fotovoltaica Cerrado</t>
        </is>
      </c>
      <c r="E303" t="inlineStr">
        <is>
          <t>Média</t>
        </is>
      </c>
      <c r="F303" t="inlineStr">
        <is>
          <t>Aline Rocha</t>
        </is>
      </c>
      <c r="G303" t="inlineStr">
        <is>
          <t>Fechada</t>
        </is>
      </c>
      <c r="H303" s="5" t="n">
        <v>45751.12777777778</v>
      </c>
    </row>
    <row r="304">
      <c r="A304" t="inlineStr">
        <is>
          <t>OS-1802</t>
        </is>
      </c>
      <c r="B304" t="inlineStr">
        <is>
          <t>Portão da área F-38 emperrado</t>
        </is>
      </c>
      <c r="C304" t="inlineStr">
        <is>
          <t>Portão de acesso da área F-38 exige força excessiva para abrir.</t>
        </is>
      </c>
      <c r="D304" t="inlineStr">
        <is>
          <t>Reservatório Industrial</t>
        </is>
      </c>
      <c r="E304" t="inlineStr">
        <is>
          <t>Média</t>
        </is>
      </c>
      <c r="F304" t="inlineStr">
        <is>
          <t>Wesley Cardoso</t>
        </is>
      </c>
      <c r="G304" t="inlineStr">
        <is>
          <t>Fechada</t>
        </is>
      </c>
      <c r="H304" s="5" t="n">
        <v>45751.45486111111</v>
      </c>
    </row>
    <row r="305">
      <c r="A305" t="inlineStr">
        <is>
          <t>OS-1803</t>
        </is>
      </c>
      <c r="B305" t="inlineStr">
        <is>
          <t>Tomada sem energia na sala H-39</t>
        </is>
      </c>
      <c r="C305" t="inlineStr">
        <is>
          <t>Tomada de serviço da sala H-39 sem tensão.</t>
        </is>
      </c>
      <c r="D305" t="inlineStr">
        <is>
          <t>Subestação Centro</t>
        </is>
      </c>
      <c r="E305" t="inlineStr">
        <is>
          <t>Média</t>
        </is>
      </c>
      <c r="F305" t="inlineStr">
        <is>
          <t>Murilo Paiva</t>
        </is>
      </c>
      <c r="G305" t="inlineStr">
        <is>
          <t>Fechada</t>
        </is>
      </c>
      <c r="H305" s="5" t="n">
        <v>45751.76041666666</v>
      </c>
    </row>
    <row r="306">
      <c r="A306" t="inlineStr">
        <is>
          <t>OS-1804</t>
        </is>
      </c>
      <c r="B306" t="inlineStr">
        <is>
          <t>Válvula M-22 não fecha por completo</t>
        </is>
      </c>
      <c r="C306" t="inlineStr">
        <is>
          <t>Válvula M-22 com passagem residual mesmo totalmente fechada. Possível desgaste da sede.</t>
        </is>
      </c>
      <c r="D306" t="inlineStr">
        <is>
          <t>Usina Fotovoltaica Cerrado</t>
        </is>
      </c>
      <c r="E306" t="inlineStr">
        <is>
          <t>Média</t>
        </is>
      </c>
      <c r="F306" t="inlineStr">
        <is>
          <t>Larissa Bezerra</t>
        </is>
      </c>
      <c r="G306" t="inlineStr">
        <is>
          <t>Fechada</t>
        </is>
      </c>
      <c r="H306" s="5" t="n">
        <v>45752.06388888889</v>
      </c>
    </row>
    <row r="307">
      <c r="A307" t="inlineStr">
        <is>
          <t>OS-1805</t>
        </is>
      </c>
      <c r="B307" t="inlineStr">
        <is>
          <t>Lâmpada queimada na área F-31</t>
        </is>
      </c>
      <c r="C307" t="inlineStr">
        <is>
          <t>Iluminação da área F-31 sem funcionar. Reposição de lâmpada e conferência do reator.</t>
        </is>
      </c>
      <c r="D307" t="inlineStr">
        <is>
          <t>Captação Rio Verde</t>
        </is>
      </c>
      <c r="E307" t="inlineStr">
        <is>
          <t>Crítica</t>
        </is>
      </c>
      <c r="F307" t="inlineStr">
        <is>
          <t>Gabriel Matos</t>
        </is>
      </c>
      <c r="G307" t="inlineStr">
        <is>
          <t>Fechada</t>
        </is>
      </c>
      <c r="H307" s="5" t="n">
        <v>45752.37361111111</v>
      </c>
    </row>
    <row r="308">
      <c r="A308" t="inlineStr">
        <is>
          <t>OS-1806</t>
        </is>
      </c>
      <c r="B308" t="inlineStr">
        <is>
          <t>Ruído anormal no motor C-08</t>
        </is>
      </c>
      <c r="C308" t="inlineStr">
        <is>
          <t>Ruído intermitente no motor C-08 durante a partida. Temperatura normal ao toque.</t>
        </is>
      </c>
      <c r="D308" t="inlineStr">
        <is>
          <t>Estação Elevatória Leste</t>
        </is>
      </c>
      <c r="E308" t="inlineStr">
        <is>
          <t>Crítica</t>
        </is>
      </c>
      <c r="F308" t="inlineStr">
        <is>
          <t>Priscila Guedes</t>
        </is>
      </c>
      <c r="G308" t="inlineStr">
        <is>
          <t>Fechada</t>
        </is>
      </c>
      <c r="H308" s="5" t="n">
        <v>45752.66944444444</v>
      </c>
    </row>
    <row r="309">
      <c r="A309" t="inlineStr">
        <is>
          <t>OS-1807</t>
        </is>
      </c>
      <c r="B309" t="inlineStr">
        <is>
          <t>Disjuntor desarmando no painel C-19</t>
        </is>
      </c>
      <c r="C309" t="inlineStr">
        <is>
          <t>Disjuntor do painel C-19 desarmou três vezes no turno. Carga dentro do nominal.</t>
        </is>
      </c>
      <c r="D309" t="inlineStr">
        <is>
          <t>Subestação Leste</t>
        </is>
      </c>
      <c r="E309" t="inlineStr">
        <is>
          <t>Média</t>
        </is>
      </c>
      <c r="F309" t="inlineStr">
        <is>
          <t>Igor Fonseca</t>
        </is>
      </c>
      <c r="G309" t="inlineStr">
        <is>
          <t>Fechada</t>
        </is>
      </c>
      <c r="H309" s="5" t="n">
        <v>45752.9875</v>
      </c>
    </row>
    <row r="310">
      <c r="A310" t="inlineStr">
        <is>
          <t>OS-1808</t>
        </is>
      </c>
      <c r="B310" t="inlineStr">
        <is>
          <t>Vazamento de óleo no redutor C-26</t>
        </is>
      </c>
      <c r="C310" t="inlineStr">
        <is>
          <t>Gotejamento de óleo no redutor C-26. Nível ainda dentro da faixa.</t>
        </is>
      </c>
      <c r="D310" t="inlineStr">
        <is>
          <t>Adutora Tronco Norte</t>
        </is>
      </c>
      <c r="E310" t="inlineStr">
        <is>
          <t>Média</t>
        </is>
      </c>
      <c r="F310" t="inlineStr">
        <is>
          <t>Flávio Gusmão</t>
        </is>
      </c>
      <c r="G310" t="inlineStr">
        <is>
          <t>Fechada</t>
        </is>
      </c>
      <c r="H310" s="5" t="n">
        <v>45753.26805555556</v>
      </c>
    </row>
    <row r="311">
      <c r="A311" t="inlineStr">
        <is>
          <t>OS-1809</t>
        </is>
      </c>
      <c r="B311" t="inlineStr">
        <is>
          <t>Aquecimento no mancal do motor G-14</t>
        </is>
      </c>
      <c r="C311" t="inlineStr">
        <is>
          <t>Mancal do motor G-14 acima da temperatura usual na medição com termômetro infravermelho.</t>
        </is>
      </c>
      <c r="D311" t="inlineStr">
        <is>
          <t>Estação Elevatória Leste</t>
        </is>
      </c>
      <c r="E311" t="inlineStr">
        <is>
          <t>Alta</t>
        </is>
      </c>
      <c r="F311" t="inlineStr">
        <is>
          <t>Juliana Aguiar</t>
        </is>
      </c>
      <c r="G311" t="inlineStr">
        <is>
          <t>Fechada</t>
        </is>
      </c>
      <c r="H311" s="5" t="n">
        <v>45753.59236111111</v>
      </c>
    </row>
    <row r="312">
      <c r="A312" t="inlineStr">
        <is>
          <t>OS-1810</t>
        </is>
      </c>
      <c r="B312" t="inlineStr">
        <is>
          <t>Exaustor F-31 parado</t>
        </is>
      </c>
      <c r="C312" t="inlineStr">
        <is>
          <t>Exaustor F-31 não parte. Fusível íntegro.</t>
        </is>
      </c>
      <c r="D312" t="inlineStr">
        <is>
          <t>Captação Rio Verde</t>
        </is>
      </c>
      <c r="E312" t="inlineStr">
        <is>
          <t>Média</t>
        </is>
      </c>
      <c r="F312" t="inlineStr">
        <is>
          <t>Hugo Albuquerque</t>
        </is>
      </c>
      <c r="G312" t="inlineStr">
        <is>
          <t>Fechada</t>
        </is>
      </c>
      <c r="H312" s="5" t="n">
        <v>45753.8875</v>
      </c>
    </row>
    <row r="313">
      <c r="A313" t="inlineStr">
        <is>
          <t>OS-1811</t>
        </is>
      </c>
      <c r="B313" t="inlineStr">
        <is>
          <t>Vazamento de óleo no redutor V-04</t>
        </is>
      </c>
      <c r="C313" t="inlineStr">
        <is>
          <t>Gotejamento de óleo no redutor V-04. Nível ainda dentro da faixa.</t>
        </is>
      </c>
      <c r="D313" t="inlineStr">
        <is>
          <t>Booster Morada do Sol</t>
        </is>
      </c>
      <c r="E313" t="inlineStr">
        <is>
          <t>Alta</t>
        </is>
      </c>
      <c r="F313" t="inlineStr">
        <is>
          <t>Kleber Antunes</t>
        </is>
      </c>
      <c r="G313" t="inlineStr">
        <is>
          <t>Fechada</t>
        </is>
      </c>
      <c r="H313" s="5" t="n">
        <v>45754.19513888889</v>
      </c>
    </row>
    <row r="314">
      <c r="A314" t="inlineStr">
        <is>
          <t>OS-1812</t>
        </is>
      </c>
      <c r="B314" t="inlineStr">
        <is>
          <t>Bomba dosadora D-07 sem recalque</t>
        </is>
      </c>
      <c r="C314" t="inlineStr">
        <is>
          <t>Bomba dosadora D-07 liga mas não dosa. Mangueira sem obstrução aparente.</t>
        </is>
      </c>
      <c r="D314" t="inlineStr">
        <is>
          <t>Base Operacional Serra</t>
        </is>
      </c>
      <c r="E314" t="inlineStr">
        <is>
          <t>Baixa</t>
        </is>
      </c>
      <c r="F314" t="inlineStr">
        <is>
          <t>Thiago Bastos</t>
        </is>
      </c>
      <c r="G314" t="inlineStr">
        <is>
          <t>Fechada</t>
        </is>
      </c>
      <c r="H314" s="5" t="n">
        <v>45754.50416666667</v>
      </c>
    </row>
    <row r="315">
      <c r="A315" t="inlineStr">
        <is>
          <t>OS-1813</t>
        </is>
      </c>
      <c r="B315" t="inlineStr">
        <is>
          <t>Tomada sem energia na sala H-05</t>
        </is>
      </c>
      <c r="C315" t="inlineStr">
        <is>
          <t>Tomada de serviço da sala H-05 sem tensão.</t>
        </is>
      </c>
      <c r="D315" t="inlineStr">
        <is>
          <t>Almoxarifado Central</t>
        </is>
      </c>
      <c r="E315" t="inlineStr">
        <is>
          <t>Crítica</t>
        </is>
      </c>
      <c r="F315" t="inlineStr">
        <is>
          <t>Ingrid Queiroz</t>
        </is>
      </c>
      <c r="G315" t="inlineStr">
        <is>
          <t>Fechada</t>
        </is>
      </c>
      <c r="H315" s="5" t="n">
        <v>45754.79166666666</v>
      </c>
    </row>
    <row r="316">
      <c r="A316" t="inlineStr">
        <is>
          <t>OS-1814</t>
        </is>
      </c>
      <c r="B316" t="inlineStr">
        <is>
          <t>Disjuntor desarmando no painel M-09</t>
        </is>
      </c>
      <c r="C316" t="inlineStr">
        <is>
          <t>Disjuntor do painel M-09 desarmou três vezes no turno. Carga dentro do nominal.</t>
        </is>
      </c>
      <c r="D316" t="inlineStr">
        <is>
          <t>ETA Ribeirão Fundo</t>
        </is>
      </c>
      <c r="E316" t="inlineStr">
        <is>
          <t>Média</t>
        </is>
      </c>
      <c r="F316" t="inlineStr">
        <is>
          <t>Danilo Peixoto</t>
        </is>
      </c>
      <c r="G316" t="inlineStr">
        <is>
          <t>Fechada</t>
        </is>
      </c>
      <c r="H316" s="5" t="n">
        <v>45755.10625</v>
      </c>
    </row>
    <row r="317">
      <c r="A317" t="inlineStr">
        <is>
          <t>OS-1815</t>
        </is>
      </c>
      <c r="B317" t="inlineStr">
        <is>
          <t>Falha de comunicação no CLP F-04</t>
        </is>
      </c>
      <c r="C317" t="inlineStr">
        <is>
          <t>CLP F-04 perde comunicação com o supervisório em intervalos irregulares.</t>
        </is>
      </c>
      <c r="D317" t="inlineStr">
        <is>
          <t>Pátio de Veículos</t>
        </is>
      </c>
      <c r="E317" t="inlineStr">
        <is>
          <t>Média</t>
        </is>
      </c>
      <c r="F317" t="inlineStr">
        <is>
          <t>Larissa Bezerra</t>
        </is>
      </c>
      <c r="G317" t="inlineStr">
        <is>
          <t>Fechada</t>
        </is>
      </c>
      <c r="H317" s="5" t="n">
        <v>45755.42847222222</v>
      </c>
    </row>
    <row r="318">
      <c r="A318" t="inlineStr">
        <is>
          <t>OS-1816</t>
        </is>
      </c>
      <c r="B318" t="inlineStr">
        <is>
          <t>Disjuntor desarmando no painel D-23</t>
        </is>
      </c>
      <c r="C318" t="inlineStr">
        <is>
          <t>Disjuntor do painel D-23 desarmou três vezes no turno. Carga dentro do nominal.</t>
        </is>
      </c>
      <c r="D318" t="inlineStr">
        <is>
          <t>Booster Morada do Sol</t>
        </is>
      </c>
      <c r="E318" t="inlineStr">
        <is>
          <t>Crítica</t>
        </is>
      </c>
      <c r="F318" t="inlineStr">
        <is>
          <t>Otávio Lacerda</t>
        </is>
      </c>
      <c r="G318" t="inlineStr">
        <is>
          <t>Fechada</t>
        </is>
      </c>
      <c r="H318" s="5" t="n">
        <v>45755.70208333333</v>
      </c>
    </row>
    <row r="319">
      <c r="A319" t="inlineStr">
        <is>
          <t>OS-1817</t>
        </is>
      </c>
      <c r="B319" t="inlineStr">
        <is>
          <t>Pintura descascada na estrutura R-04</t>
        </is>
      </c>
      <c r="C319" t="inlineStr">
        <is>
          <t>Estrutura metálica R-04 com pontos de corrosão sob a pintura.</t>
        </is>
      </c>
      <c r="D319" t="inlineStr">
        <is>
          <t>Subestação Leste</t>
        </is>
      </c>
      <c r="E319" t="inlineStr">
        <is>
          <t>Alta</t>
        </is>
      </c>
      <c r="F319" t="inlineStr">
        <is>
          <t>Kleber Antunes</t>
        </is>
      </c>
      <c r="G319" t="inlineStr">
        <is>
          <t>Fechada</t>
        </is>
      </c>
      <c r="H319" s="5" t="n">
        <v>45756.03888888889</v>
      </c>
    </row>
    <row r="320">
      <c r="A320" t="inlineStr">
        <is>
          <t>OS-1818</t>
        </is>
      </c>
      <c r="B320" t="inlineStr">
        <is>
          <t>Pintura descascada na estrutura E-20</t>
        </is>
      </c>
      <c r="C320" t="inlineStr">
        <is>
          <t>Estrutura metálica E-20 com pontos de corrosão sob a pintura.</t>
        </is>
      </c>
      <c r="D320" t="inlineStr">
        <is>
          <t>Estação de Bombeamento Vila Nova</t>
        </is>
      </c>
      <c r="E320" t="inlineStr">
        <is>
          <t>Média</t>
        </is>
      </c>
      <c r="F320" t="inlineStr">
        <is>
          <t>Eduardo Salles</t>
        </is>
      </c>
      <c r="G320" t="inlineStr">
        <is>
          <t>Fechada</t>
        </is>
      </c>
      <c r="H320" s="5" t="n">
        <v>45756.32291666666</v>
      </c>
    </row>
    <row r="321">
      <c r="A321" t="inlineStr">
        <is>
          <t>OS-1819</t>
        </is>
      </c>
      <c r="B321" t="inlineStr">
        <is>
          <t>Vazamento na bomba P-22</t>
        </is>
      </c>
      <c r="C321" t="inlineStr">
        <is>
          <t>Vazamento pelo selo mecânico da bomba P-22. Piso molhado ao redor da base.</t>
        </is>
      </c>
      <c r="D321" t="inlineStr">
        <is>
          <t>Sede Administrativa</t>
        </is>
      </c>
      <c r="E321" t="inlineStr">
        <is>
          <t>Alta</t>
        </is>
      </c>
      <c r="F321" t="inlineStr">
        <is>
          <t>Yara Medeiros</t>
        </is>
      </c>
      <c r="G321" t="inlineStr">
        <is>
          <t>Fechada</t>
        </is>
      </c>
      <c r="H321" s="5" t="n">
        <v>45756.64305555556</v>
      </c>
    </row>
    <row r="322">
      <c r="A322" t="inlineStr">
        <is>
          <t>OS-1820</t>
        </is>
      </c>
      <c r="B322" t="inlineStr">
        <is>
          <t>Calha entupida no prédio V-02</t>
        </is>
      </c>
      <c r="C322" t="inlineStr">
        <is>
          <t>Calha do prédio V-02 transbordando em dia de chuva.</t>
        </is>
      </c>
      <c r="D322" t="inlineStr">
        <is>
          <t>Estação Elevatória Leste</t>
        </is>
      </c>
      <c r="E322" t="inlineStr">
        <is>
          <t>Baixa</t>
        </is>
      </c>
      <c r="F322" t="inlineStr">
        <is>
          <t>Eduardo Salles</t>
        </is>
      </c>
      <c r="G322" t="inlineStr">
        <is>
          <t>Fechada</t>
        </is>
      </c>
      <c r="H322" s="5" t="n">
        <v>45756.94791666666</v>
      </c>
    </row>
    <row r="323">
      <c r="A323" t="inlineStr">
        <is>
          <t>OS-1821</t>
        </is>
      </c>
      <c r="B323" t="inlineStr">
        <is>
          <t>Calha entupida no prédio T-18</t>
        </is>
      </c>
      <c r="C323" t="inlineStr">
        <is>
          <t>Calha do prédio T-18 transbordando em dia de chuva.</t>
        </is>
      </c>
      <c r="D323" t="inlineStr">
        <is>
          <t>Torre de Telecomunicação Morro Alto</t>
        </is>
      </c>
      <c r="E323" t="inlineStr">
        <is>
          <t>Baixa</t>
        </is>
      </c>
      <c r="F323" t="inlineStr">
        <is>
          <t>Otávio Lacerda</t>
        </is>
      </c>
      <c r="G323" t="inlineStr">
        <is>
          <t>Fechada</t>
        </is>
      </c>
      <c r="H323" s="5" t="n">
        <v>45757.24861111111</v>
      </c>
    </row>
    <row r="324">
      <c r="A324" t="inlineStr">
        <is>
          <t>OS-1822</t>
        </is>
      </c>
      <c r="B324" t="inlineStr">
        <is>
          <t>Troca de filtro do compressor G-24</t>
        </is>
      </c>
      <c r="C324" t="inlineStr">
        <is>
          <t>Filtro de ar do compressor G-24 saturado. Substituição preventiva.</t>
        </is>
      </c>
      <c r="D324" t="inlineStr">
        <is>
          <t>Laboratório de Controle</t>
        </is>
      </c>
      <c r="E324" t="inlineStr">
        <is>
          <t>Média</t>
        </is>
      </c>
      <c r="F324" t="inlineStr">
        <is>
          <t>Thiago Bastos</t>
        </is>
      </c>
      <c r="G324" t="inlineStr">
        <is>
          <t>Fechada</t>
        </is>
      </c>
      <c r="H324" s="5" t="n">
        <v>45757.56041666667</v>
      </c>
    </row>
    <row r="325">
      <c r="A325" t="inlineStr">
        <is>
          <t>OS-1823</t>
        </is>
      </c>
      <c r="B325" t="inlineStr">
        <is>
          <t>Correia do ventilador F-04 desgastada</t>
        </is>
      </c>
      <c r="C325" t="inlineStr">
        <is>
          <t>Correia do ventilador F-04 com trincas visíveis e folga excessiva.</t>
        </is>
      </c>
      <c r="D325" t="inlineStr">
        <is>
          <t>Estação Elevatória Leste</t>
        </is>
      </c>
      <c r="E325" t="inlineStr">
        <is>
          <t>Baixa</t>
        </is>
      </c>
      <c r="F325" t="inlineStr">
        <is>
          <t>Wesley Cardoso</t>
        </is>
      </c>
      <c r="G325" t="inlineStr">
        <is>
          <t>Fechada</t>
        </is>
      </c>
      <c r="H325" s="5" t="n">
        <v>45757.86944444444</v>
      </c>
    </row>
    <row r="326">
      <c r="A326" t="inlineStr">
        <is>
          <t>OS-1824</t>
        </is>
      </c>
      <c r="B326" t="inlineStr">
        <is>
          <t>Portão da área P-27 emperrado</t>
        </is>
      </c>
      <c r="C326" t="inlineStr">
        <is>
          <t>Portão de acesso da área P-27 exige força excessiva para abrir.</t>
        </is>
      </c>
      <c r="D326" t="inlineStr">
        <is>
          <t>Estação de Bombeamento Três Pontes</t>
        </is>
      </c>
      <c r="E326" t="inlineStr">
        <is>
          <t>Alta</t>
        </is>
      </c>
      <c r="F326" t="inlineStr">
        <is>
          <t>Zeca Moraes</t>
        </is>
      </c>
      <c r="G326" t="inlineStr">
        <is>
          <t>Fechada</t>
        </is>
      </c>
      <c r="H326" s="5" t="n">
        <v>45758.15277777778</v>
      </c>
    </row>
    <row r="327">
      <c r="A327" t="inlineStr">
        <is>
          <t>OS-1825</t>
        </is>
      </c>
      <c r="B327" t="inlineStr">
        <is>
          <t>Medidor de vazão G-32 com leitura instável</t>
        </is>
      </c>
      <c r="C327" t="inlineStr">
        <is>
          <t>Medidor de vazão G-32 oscila sem variação de processo.</t>
        </is>
      </c>
      <c r="D327" t="inlineStr">
        <is>
          <t>Reservatório Alto da Colina</t>
        </is>
      </c>
      <c r="E327" t="inlineStr">
        <is>
          <t>Alta</t>
        </is>
      </c>
      <c r="F327" t="inlineStr">
        <is>
          <t>Rafael Torres</t>
        </is>
      </c>
      <c r="G327" t="inlineStr">
        <is>
          <t>Fechada</t>
        </is>
      </c>
      <c r="H327" s="5" t="n">
        <v>45758.45</v>
      </c>
    </row>
    <row r="328">
      <c r="A328" t="inlineStr">
        <is>
          <t>OS-1826</t>
        </is>
      </c>
      <c r="B328" t="inlineStr">
        <is>
          <t>Calha entupida no prédio G-23</t>
        </is>
      </c>
      <c r="C328" t="inlineStr">
        <is>
          <t>Calha do prédio G-23 transbordando em dia de chuva.</t>
        </is>
      </c>
      <c r="D328" t="inlineStr">
        <is>
          <t>Reservatório Santa Luzia</t>
        </is>
      </c>
      <c r="E328" t="inlineStr">
        <is>
          <t>Alta</t>
        </is>
      </c>
      <c r="F328" t="inlineStr">
        <is>
          <t>Caio Rangel</t>
        </is>
      </c>
      <c r="G328" t="inlineStr">
        <is>
          <t>Fechada</t>
        </is>
      </c>
      <c r="H328" s="5" t="n">
        <v>45758.78611111111</v>
      </c>
    </row>
    <row r="329">
      <c r="A329" t="inlineStr">
        <is>
          <t>OS-1827</t>
        </is>
      </c>
      <c r="B329" t="inlineStr">
        <is>
          <t>Exaustor V-39 parado</t>
        </is>
      </c>
      <c r="C329" t="inlineStr">
        <is>
          <t>Exaustor V-39 não parte. Fusível íntegro.</t>
        </is>
      </c>
      <c r="D329" t="inlineStr">
        <is>
          <t>Booster Morada do Sol</t>
        </is>
      </c>
      <c r="E329" t="inlineStr">
        <is>
          <t>Média</t>
        </is>
      </c>
      <c r="F329" t="inlineStr">
        <is>
          <t>Fernanda Quintela</t>
        </is>
      </c>
      <c r="G329" t="inlineStr">
        <is>
          <t>Fechada</t>
        </is>
      </c>
      <c r="H329" s="5" t="n">
        <v>45759.07777777778</v>
      </c>
    </row>
    <row r="330">
      <c r="A330" t="inlineStr">
        <is>
          <t>OS-1828</t>
        </is>
      </c>
      <c r="B330" t="inlineStr">
        <is>
          <t>Aquecimento no mancal do motor C-14</t>
        </is>
      </c>
      <c r="C330" t="inlineStr">
        <is>
          <t>Mancal do motor C-14 acima da temperatura usual na medição com termômetro infravermelho.</t>
        </is>
      </c>
      <c r="D330" t="inlineStr">
        <is>
          <t>ETA Ribeirão Fundo</t>
        </is>
      </c>
      <c r="E330" t="inlineStr">
        <is>
          <t>Baixa</t>
        </is>
      </c>
      <c r="F330" t="inlineStr">
        <is>
          <t>Danilo Peixoto</t>
        </is>
      </c>
      <c r="G330" t="inlineStr">
        <is>
          <t>Fechada</t>
        </is>
      </c>
      <c r="H330" s="5" t="n">
        <v>45759.36527777778</v>
      </c>
    </row>
    <row r="331">
      <c r="A331" t="inlineStr">
        <is>
          <t>OS-1829</t>
        </is>
      </c>
      <c r="B331" t="inlineStr">
        <is>
          <t>Falha de comunicação no CLP R-27</t>
        </is>
      </c>
      <c r="C331" t="inlineStr">
        <is>
          <t>CLP R-27 perde comunicação com o supervisório em intervalos irregulares.</t>
        </is>
      </c>
      <c r="D331" t="inlineStr">
        <is>
          <t>Estação de Bombeamento Três Pontes</t>
        </is>
      </c>
      <c r="E331" t="inlineStr">
        <is>
          <t>Média</t>
        </is>
      </c>
      <c r="F331" t="inlineStr">
        <is>
          <t>Gabriel Matos</t>
        </is>
      </c>
      <c r="G331" t="inlineStr">
        <is>
          <t>Fechada</t>
        </is>
      </c>
      <c r="H331" s="5" t="n">
        <v>45759.66875</v>
      </c>
    </row>
    <row r="332">
      <c r="A332" t="inlineStr">
        <is>
          <t>OS-1830</t>
        </is>
      </c>
      <c r="B332" t="inlineStr">
        <is>
          <t>Pintura descascada na estrutura H-37</t>
        </is>
      </c>
      <c r="C332" t="inlineStr">
        <is>
          <t>Estrutura metálica H-37 com pontos de corrosão sob a pintura.</t>
        </is>
      </c>
      <c r="D332" t="inlineStr">
        <is>
          <t>Captação Rio Verde</t>
        </is>
      </c>
      <c r="E332" t="inlineStr">
        <is>
          <t>Baixa</t>
        </is>
      </c>
      <c r="F332" t="inlineStr">
        <is>
          <t>Marcos Vinícius Rocha</t>
        </is>
      </c>
      <c r="G332" t="inlineStr">
        <is>
          <t>Fechada</t>
        </is>
      </c>
      <c r="H332" s="5" t="n">
        <v>45759.97777777778</v>
      </c>
    </row>
    <row r="333">
      <c r="A333" t="inlineStr">
        <is>
          <t>OS-1831</t>
        </is>
      </c>
      <c r="B333" t="inlineStr">
        <is>
          <t>Medidor de vazão A-06 com leitura instável</t>
        </is>
      </c>
      <c r="C333" t="inlineStr">
        <is>
          <t>Medidor de vazão A-06 oscila sem variação de processo.</t>
        </is>
      </c>
      <c r="D333" t="inlineStr">
        <is>
          <t>Centro de Operações</t>
        </is>
      </c>
      <c r="E333" t="inlineStr">
        <is>
          <t>Média</t>
        </is>
      </c>
      <c r="F333" t="inlineStr">
        <is>
          <t>Thiago Bastos</t>
        </is>
      </c>
      <c r="G333" t="inlineStr">
        <is>
          <t>Fechada</t>
        </is>
      </c>
      <c r="H333" s="5" t="n">
        <v>45760.31319444445</v>
      </c>
    </row>
    <row r="334">
      <c r="A334" t="inlineStr">
        <is>
          <t>OS-1832</t>
        </is>
      </c>
      <c r="B334" t="inlineStr">
        <is>
          <t>Falha de comunicação no CLP A-06</t>
        </is>
      </c>
      <c r="C334" t="inlineStr">
        <is>
          <t>CLP A-06 perde comunicação com o supervisório em intervalos irregulares.</t>
        </is>
      </c>
      <c r="D334" t="inlineStr">
        <is>
          <t>Subestação Centro</t>
        </is>
      </c>
      <c r="E334" t="inlineStr">
        <is>
          <t>Média</t>
        </is>
      </c>
      <c r="F334" t="inlineStr">
        <is>
          <t>Yara Medeiros</t>
        </is>
      </c>
      <c r="G334" t="inlineStr">
        <is>
          <t>Fechada</t>
        </is>
      </c>
      <c r="H334" s="5" t="n">
        <v>45760.57916666667</v>
      </c>
    </row>
    <row r="335">
      <c r="A335" t="inlineStr">
        <is>
          <t>OS-1833</t>
        </is>
      </c>
      <c r="B335" t="inlineStr">
        <is>
          <t>Pintura descascada na estrutura E-22</t>
        </is>
      </c>
      <c r="C335" t="inlineStr">
        <is>
          <t>Estrutura metálica E-22 com pontos de corrosão sob a pintura.</t>
        </is>
      </c>
      <c r="D335" t="inlineStr">
        <is>
          <t>Captação Rio Verde</t>
        </is>
      </c>
      <c r="E335" t="inlineStr">
        <is>
          <t>Crítica</t>
        </is>
      </c>
      <c r="F335" t="inlineStr">
        <is>
          <t>Zeca Moraes</t>
        </is>
      </c>
      <c r="G335" t="inlineStr">
        <is>
          <t>Fechada</t>
        </is>
      </c>
      <c r="H335" s="5" t="n">
        <v>45760.90972222222</v>
      </c>
    </row>
    <row r="336">
      <c r="A336" t="inlineStr">
        <is>
          <t>OS-1834</t>
        </is>
      </c>
      <c r="B336" t="inlineStr">
        <is>
          <t>Lâmpada queimada na área G-37</t>
        </is>
      </c>
      <c r="C336" t="inlineStr">
        <is>
          <t>Iluminação da área G-37 sem funcionar. Reposição de lâmpada e conferência do reator.</t>
        </is>
      </c>
      <c r="D336" t="inlineStr">
        <is>
          <t>ETE Vale do Sol</t>
        </is>
      </c>
      <c r="E336" t="inlineStr">
        <is>
          <t>Média</t>
        </is>
      </c>
      <c r="F336" t="inlineStr">
        <is>
          <t>Vagner Pacheco</t>
        </is>
      </c>
      <c r="G336" t="inlineStr">
        <is>
          <t>Fechada</t>
        </is>
      </c>
      <c r="H336" s="5" t="n">
        <v>45761.18958333333</v>
      </c>
    </row>
    <row r="337">
      <c r="A337" t="inlineStr">
        <is>
          <t>OS-1835</t>
        </is>
      </c>
      <c r="B337" t="inlineStr">
        <is>
          <t>Ruído anormal no motor T-21</t>
        </is>
      </c>
      <c r="C337" t="inlineStr">
        <is>
          <t>Ruído intermitente no motor T-21 durante a partida. Temperatura normal ao toque.</t>
        </is>
      </c>
      <c r="D337" t="inlineStr">
        <is>
          <t>Adutora Tronco Sul</t>
        </is>
      </c>
      <c r="E337" t="inlineStr">
        <is>
          <t>Alta</t>
        </is>
      </c>
      <c r="F337" t="inlineStr">
        <is>
          <t>Cíntia Freitas</t>
        </is>
      </c>
      <c r="G337" t="inlineStr">
        <is>
          <t>Fechada</t>
        </is>
      </c>
      <c r="H337" s="5" t="n">
        <v>45761.50625</v>
      </c>
    </row>
    <row r="338">
      <c r="A338" t="inlineStr">
        <is>
          <t>OS-1836</t>
        </is>
      </c>
      <c r="B338" t="inlineStr">
        <is>
          <t>Válvula E-23 não fecha por completo</t>
        </is>
      </c>
      <c r="C338" t="inlineStr">
        <is>
          <t>Válvula E-23 com passagem residual mesmo totalmente fechada. Possível desgaste da sede.</t>
        </is>
      </c>
      <c r="D338" t="inlineStr">
        <is>
          <t>Oficina Elétrica Central</t>
        </is>
      </c>
      <c r="E338" t="inlineStr">
        <is>
          <t>Média</t>
        </is>
      </c>
      <c r="F338" t="inlineStr">
        <is>
          <t>Natália Cordeiro</t>
        </is>
      </c>
      <c r="G338" t="inlineStr">
        <is>
          <t>Fechada</t>
        </is>
      </c>
      <c r="H338" s="5" t="n">
        <v>45761.83402777778</v>
      </c>
    </row>
    <row r="339">
      <c r="A339" t="inlineStr">
        <is>
          <t>OS-1837</t>
        </is>
      </c>
      <c r="B339" t="inlineStr">
        <is>
          <t>Disjuntor desarmando no painel T-03</t>
        </is>
      </c>
      <c r="C339" t="inlineStr">
        <is>
          <t>Disjuntor do painel T-03 desarmou três vezes no turno. Carga dentro do nominal.</t>
        </is>
      </c>
      <c r="D339" t="inlineStr">
        <is>
          <t>Oficina Elétrica Central</t>
        </is>
      </c>
      <c r="E339" t="inlineStr">
        <is>
          <t>Baixa</t>
        </is>
      </c>
      <c r="F339" t="inlineStr">
        <is>
          <t>Vagner Pacheco</t>
        </is>
      </c>
      <c r="G339" t="inlineStr">
        <is>
          <t>Fechada</t>
        </is>
      </c>
      <c r="H339" s="5" t="n">
        <v>45762.11875</v>
      </c>
    </row>
    <row r="340">
      <c r="A340" t="inlineStr">
        <is>
          <t>OS-1838</t>
        </is>
      </c>
      <c r="B340" t="inlineStr">
        <is>
          <t>Portão da área D-15 emperrado</t>
        </is>
      </c>
      <c r="C340" t="inlineStr">
        <is>
          <t>Portão de acesso da área D-15 exige força excessiva para abrir.</t>
        </is>
      </c>
      <c r="D340" t="inlineStr">
        <is>
          <t>Estação Elevatória Porto</t>
        </is>
      </c>
      <c r="E340" t="inlineStr">
        <is>
          <t>Alta</t>
        </is>
      </c>
      <c r="F340" t="inlineStr">
        <is>
          <t>Bernardo Leal</t>
        </is>
      </c>
      <c r="G340" t="inlineStr">
        <is>
          <t>Fechada</t>
        </is>
      </c>
      <c r="H340" s="5" t="n">
        <v>45762.43055555555</v>
      </c>
    </row>
    <row r="341">
      <c r="A341" t="inlineStr">
        <is>
          <t>OS-1839</t>
        </is>
      </c>
      <c r="B341" t="inlineStr">
        <is>
          <t>Disjuntor desarmando no painel A-17</t>
        </is>
      </c>
      <c r="C341" t="inlineStr">
        <is>
          <t>Disjuntor do painel A-17 desarmou três vezes no turno. Carga dentro do nominal.</t>
        </is>
      </c>
      <c r="D341" t="inlineStr">
        <is>
          <t>ETE Rio Claro</t>
        </is>
      </c>
      <c r="E341" t="inlineStr">
        <is>
          <t>Alta</t>
        </is>
      </c>
      <c r="F341" t="inlineStr">
        <is>
          <t>Beatriz Farias</t>
        </is>
      </c>
      <c r="G341" t="inlineStr">
        <is>
          <t>Fechada</t>
        </is>
      </c>
      <c r="H341" s="5" t="n">
        <v>45762.73611111111</v>
      </c>
    </row>
    <row r="342">
      <c r="A342" t="inlineStr">
        <is>
          <t>OS-1840</t>
        </is>
      </c>
      <c r="B342" t="inlineStr">
        <is>
          <t>Sensor de nível sem leitura no tanque M-08</t>
        </is>
      </c>
      <c r="C342" t="inlineStr">
        <is>
          <t>Supervisório mostra leitura congelada do sensor de nível do tanque M-08.</t>
        </is>
      </c>
      <c r="D342" t="inlineStr">
        <is>
          <t>Pátio de Veículos</t>
        </is>
      </c>
      <c r="E342" t="inlineStr">
        <is>
          <t>Média</t>
        </is>
      </c>
      <c r="F342" t="inlineStr">
        <is>
          <t>Rafael Torres</t>
        </is>
      </c>
      <c r="G342" t="inlineStr">
        <is>
          <t>Fechada</t>
        </is>
      </c>
      <c r="H342" s="5" t="n">
        <v>45763.03541666667</v>
      </c>
    </row>
    <row r="343">
      <c r="A343" t="inlineStr">
        <is>
          <t>OS-1841</t>
        </is>
      </c>
      <c r="B343" t="inlineStr">
        <is>
          <t>Válvula P-17 não fecha por completo</t>
        </is>
      </c>
      <c r="C343" t="inlineStr">
        <is>
          <t>Válvula P-17 com passagem residual mesmo totalmente fechada. Possível desgaste da sede.</t>
        </is>
      </c>
      <c r="D343" t="inlineStr">
        <is>
          <t>Base Operacional Serra</t>
        </is>
      </c>
      <c r="E343" t="inlineStr">
        <is>
          <t>Média</t>
        </is>
      </c>
      <c r="F343" t="inlineStr">
        <is>
          <t>Simone Carvalho</t>
        </is>
      </c>
      <c r="G343" t="inlineStr">
        <is>
          <t>Fechada</t>
        </is>
      </c>
      <c r="H343" s="5" t="n">
        <v>45763.36666666667</v>
      </c>
    </row>
    <row r="344">
      <c r="A344" t="inlineStr">
        <is>
          <t>OS-1842</t>
        </is>
      </c>
      <c r="B344" t="inlineStr">
        <is>
          <t>Calha entupida no prédio M-25</t>
        </is>
      </c>
      <c r="C344" t="inlineStr">
        <is>
          <t>Calha do prédio M-25 transbordando em dia de chuva.</t>
        </is>
      </c>
      <c r="D344" t="inlineStr">
        <is>
          <t>Subestação Leste</t>
        </is>
      </c>
      <c r="E344" t="inlineStr">
        <is>
          <t>Média</t>
        </is>
      </c>
      <c r="F344" t="inlineStr">
        <is>
          <t>Otávio Lacerda</t>
        </is>
      </c>
      <c r="G344" t="inlineStr">
        <is>
          <t>Fechada</t>
        </is>
      </c>
      <c r="H344" s="5" t="n">
        <v>45763.64583333334</v>
      </c>
    </row>
    <row r="345">
      <c r="A345" t="inlineStr">
        <is>
          <t>OS-1843</t>
        </is>
      </c>
      <c r="B345" t="inlineStr">
        <is>
          <t>Ruído anormal no motor V-09</t>
        </is>
      </c>
      <c r="C345" t="inlineStr">
        <is>
          <t>Ruído intermitente no motor V-09 durante a partida. Temperatura normal ao toque.</t>
        </is>
      </c>
      <c r="D345" t="inlineStr">
        <is>
          <t>ETA Ribeirão Fundo</t>
        </is>
      </c>
      <c r="E345" t="inlineStr">
        <is>
          <t>Média</t>
        </is>
      </c>
      <c r="F345" t="inlineStr">
        <is>
          <t>Igor Fonseca</t>
        </is>
      </c>
      <c r="G345" t="inlineStr">
        <is>
          <t>Fechada</t>
        </is>
      </c>
      <c r="H345" s="5" t="n">
        <v>45763.96458333333</v>
      </c>
    </row>
    <row r="346">
      <c r="A346" t="inlineStr">
        <is>
          <t>OS-1844</t>
        </is>
      </c>
      <c r="B346" t="inlineStr">
        <is>
          <t>Tomada sem energia na sala H-01</t>
        </is>
      </c>
      <c r="C346" t="inlineStr">
        <is>
          <t>Tomada de serviço da sala H-01 sem tensão.</t>
        </is>
      </c>
      <c r="D346" t="inlineStr">
        <is>
          <t>Oficina Elétrica Central</t>
        </is>
      </c>
      <c r="E346" t="inlineStr">
        <is>
          <t>Alta</t>
        </is>
      </c>
      <c r="F346" t="inlineStr">
        <is>
          <t>Daniela Pires</t>
        </is>
      </c>
      <c r="G346" t="inlineStr">
        <is>
          <t>Fechada</t>
        </is>
      </c>
      <c r="H346" s="5" t="n">
        <v>45764.25833333333</v>
      </c>
    </row>
    <row r="347">
      <c r="A347" t="inlineStr">
        <is>
          <t>OS-1845</t>
        </is>
      </c>
      <c r="B347" t="inlineStr">
        <is>
          <t>Lâmpada queimada na área F-14</t>
        </is>
      </c>
      <c r="C347" t="inlineStr">
        <is>
          <t>Iluminação da área F-14 sem funcionar. Reposição de lâmpada e conferência do reator.</t>
        </is>
      </c>
      <c r="D347" t="inlineStr">
        <is>
          <t>Base Operacional Norte</t>
        </is>
      </c>
      <c r="E347" t="inlineStr">
        <is>
          <t>Alta</t>
        </is>
      </c>
      <c r="F347" t="inlineStr">
        <is>
          <t>Úrsula Maia</t>
        </is>
      </c>
      <c r="G347" t="inlineStr">
        <is>
          <t>Fechada</t>
        </is>
      </c>
      <c r="H347" s="5" t="n">
        <v>45764.54791666667</v>
      </c>
    </row>
    <row r="348">
      <c r="A348" t="inlineStr">
        <is>
          <t>OS-1846</t>
        </is>
      </c>
      <c r="B348" t="inlineStr">
        <is>
          <t>Medidor de vazão C-14 com leitura instável</t>
        </is>
      </c>
      <c r="C348" t="inlineStr">
        <is>
          <t>Medidor de vazão C-14 oscila sem variação de processo.</t>
        </is>
      </c>
      <c r="D348" t="inlineStr">
        <is>
          <t>Reservatório Industrial</t>
        </is>
      </c>
      <c r="E348" t="inlineStr">
        <is>
          <t>Baixa</t>
        </is>
      </c>
      <c r="F348" t="inlineStr">
        <is>
          <t>Simone Carvalho</t>
        </is>
      </c>
      <c r="G348" t="inlineStr">
        <is>
          <t>Fechada</t>
        </is>
      </c>
      <c r="H348" s="5" t="n">
        <v>45764.88819444444</v>
      </c>
    </row>
    <row r="349">
      <c r="A349" t="inlineStr">
        <is>
          <t>OS-1847</t>
        </is>
      </c>
      <c r="B349" t="inlineStr">
        <is>
          <t>Bomba dosadora V-17 sem recalque</t>
        </is>
      </c>
      <c r="C349" t="inlineStr">
        <is>
          <t>Bomba dosadora V-17 liga mas não dosa. Mangueira sem obstrução aparente.</t>
        </is>
      </c>
      <c r="D349" t="inlineStr">
        <is>
          <t>Estação Elevatória Porto</t>
        </is>
      </c>
      <c r="E349" t="inlineStr">
        <is>
          <t>Baixa</t>
        </is>
      </c>
      <c r="F349" t="inlineStr">
        <is>
          <t>Natália Cordeiro</t>
        </is>
      </c>
      <c r="G349" t="inlineStr">
        <is>
          <t>Fechada</t>
        </is>
      </c>
      <c r="H349" s="5" t="n">
        <v>45765.15694444445</v>
      </c>
    </row>
    <row r="350">
      <c r="A350" t="inlineStr">
        <is>
          <t>OS-1848</t>
        </is>
      </c>
      <c r="B350" t="inlineStr">
        <is>
          <t>Portão da área P-38 emperrado</t>
        </is>
      </c>
      <c r="C350" t="inlineStr">
        <is>
          <t>Portão de acesso da área P-38 exige força excessiva para abrir.</t>
        </is>
      </c>
      <c r="D350" t="inlineStr">
        <is>
          <t>Booster Morada do Sol</t>
        </is>
      </c>
      <c r="E350" t="inlineStr">
        <is>
          <t>Baixa</t>
        </is>
      </c>
      <c r="F350" t="inlineStr">
        <is>
          <t>Juliana Aguiar</t>
        </is>
      </c>
      <c r="G350" t="inlineStr">
        <is>
          <t>Fechada</t>
        </is>
      </c>
      <c r="H350" s="5" t="n">
        <v>45765.50138888889</v>
      </c>
    </row>
    <row r="351">
      <c r="A351" t="inlineStr">
        <is>
          <t>OS-1849</t>
        </is>
      </c>
      <c r="B351" t="inlineStr">
        <is>
          <t>Pintura descascada na estrutura R-21</t>
        </is>
      </c>
      <c r="C351" t="inlineStr">
        <is>
          <t>Estrutura metálica R-21 com pontos de corrosão sob a pintura.</t>
        </is>
      </c>
      <c r="D351" t="inlineStr">
        <is>
          <t>Subestação Centro</t>
        </is>
      </c>
      <c r="E351" t="inlineStr">
        <is>
          <t>Alta</t>
        </is>
      </c>
      <c r="F351" t="inlineStr">
        <is>
          <t>Igor Fonseca</t>
        </is>
      </c>
      <c r="G351" t="inlineStr">
        <is>
          <t>Fechada</t>
        </is>
      </c>
      <c r="H351" s="5" t="n">
        <v>45765.7875</v>
      </c>
    </row>
    <row r="352">
      <c r="A352" t="inlineStr">
        <is>
          <t>OS-1850</t>
        </is>
      </c>
      <c r="B352" t="inlineStr">
        <is>
          <t>Disjuntor desarmando no painel A-17</t>
        </is>
      </c>
      <c r="C352" t="inlineStr">
        <is>
          <t>Disjuntor do painel A-17 desarmou três vezes no turno. Carga dentro do nominal.</t>
        </is>
      </c>
      <c r="D352" t="inlineStr">
        <is>
          <t>Estação de Bombeamento Três Pontes</t>
        </is>
      </c>
      <c r="E352" t="inlineStr">
        <is>
          <t>Baixa</t>
        </is>
      </c>
      <c r="F352" t="inlineStr">
        <is>
          <t>Érica Andrade</t>
        </is>
      </c>
      <c r="G352" t="inlineStr">
        <is>
          <t>Fechada</t>
        </is>
      </c>
      <c r="H352" s="5" t="n">
        <v>45766.07777777778</v>
      </c>
    </row>
    <row r="353">
      <c r="A353" t="inlineStr">
        <is>
          <t>OS-1851</t>
        </is>
      </c>
      <c r="B353" t="inlineStr">
        <is>
          <t>Ar-condicionado da sala R-34 sem refrigerar</t>
        </is>
      </c>
      <c r="C353" t="inlineStr">
        <is>
          <t>Ar-condicionado da sala de painéis R-34 ligado sem refrigerar.</t>
        </is>
      </c>
      <c r="D353" t="inlineStr">
        <is>
          <t>Subestação Sul</t>
        </is>
      </c>
      <c r="E353" t="inlineStr">
        <is>
          <t>Média</t>
        </is>
      </c>
      <c r="F353" t="inlineStr">
        <is>
          <t>Priscila Guedes</t>
        </is>
      </c>
      <c r="G353" t="inlineStr">
        <is>
          <t>Fechada</t>
        </is>
      </c>
      <c r="H353" s="5" t="n">
        <v>45766.40694444445</v>
      </c>
    </row>
    <row r="354">
      <c r="A354" t="inlineStr">
        <is>
          <t>OS-1852</t>
        </is>
      </c>
      <c r="B354" t="inlineStr">
        <is>
          <t>Falha de comunicação no CLP M-02</t>
        </is>
      </c>
      <c r="C354" t="inlineStr">
        <is>
          <t>CLP M-02 perde comunicação com o supervisório em intervalos irregulares.</t>
        </is>
      </c>
      <c r="D354" t="inlineStr">
        <is>
          <t>Subestação Norte</t>
        </is>
      </c>
      <c r="E354" t="inlineStr">
        <is>
          <t>Alta</t>
        </is>
      </c>
      <c r="F354" t="inlineStr">
        <is>
          <t>Simone Carvalho</t>
        </is>
      </c>
      <c r="G354" t="inlineStr">
        <is>
          <t>Fechada</t>
        </is>
      </c>
      <c r="H354" s="5" t="n">
        <v>45766.69791666666</v>
      </c>
    </row>
    <row r="355">
      <c r="A355" t="inlineStr">
        <is>
          <t>OS-1853</t>
        </is>
      </c>
      <c r="B355" t="inlineStr">
        <is>
          <t>Calha entupida no prédio T-07</t>
        </is>
      </c>
      <c r="C355" t="inlineStr">
        <is>
          <t>Calha do prédio T-07 transbordando em dia de chuva.</t>
        </is>
      </c>
      <c r="D355" t="inlineStr">
        <is>
          <t>Subestação Leste</t>
        </is>
      </c>
      <c r="E355" t="inlineStr">
        <is>
          <t>Média</t>
        </is>
      </c>
      <c r="F355" t="inlineStr">
        <is>
          <t>Zeca Moraes</t>
        </is>
      </c>
      <c r="G355" t="inlineStr">
        <is>
          <t>Fechada</t>
        </is>
      </c>
      <c r="H355" s="5" t="n">
        <v>45767.01666666667</v>
      </c>
    </row>
    <row r="356">
      <c r="A356" t="inlineStr">
        <is>
          <t>OS-1854</t>
        </is>
      </c>
      <c r="B356" t="inlineStr">
        <is>
          <t>Vazamento na bomba C-06</t>
        </is>
      </c>
      <c r="C356" t="inlineStr">
        <is>
          <t>Vazamento pelo selo mecânico da bomba C-06. Piso molhado ao redor da base.</t>
        </is>
      </c>
      <c r="D356" t="inlineStr">
        <is>
          <t>Subestação Centro</t>
        </is>
      </c>
      <c r="E356" t="inlineStr">
        <is>
          <t>Média</t>
        </is>
      </c>
      <c r="F356" t="inlineStr">
        <is>
          <t>Cíntia Freitas</t>
        </is>
      </c>
      <c r="G356" t="inlineStr">
        <is>
          <t>Fechada</t>
        </is>
      </c>
      <c r="H356" s="5" t="n">
        <v>45767.32847222222</v>
      </c>
    </row>
    <row r="357">
      <c r="A357" t="inlineStr">
        <is>
          <t>OS-1855</t>
        </is>
      </c>
      <c r="B357" t="inlineStr">
        <is>
          <t>Aquecimento no mancal do motor R-29</t>
        </is>
      </c>
      <c r="C357" t="inlineStr">
        <is>
          <t>Mancal do motor R-29 acima da temperatura usual na medição com termômetro infravermelho.</t>
        </is>
      </c>
      <c r="D357" t="inlineStr">
        <is>
          <t>Reservatório Alto da Colina</t>
        </is>
      </c>
      <c r="E357" t="inlineStr">
        <is>
          <t>Alta</t>
        </is>
      </c>
      <c r="F357" t="inlineStr">
        <is>
          <t>Natália Cordeiro</t>
        </is>
      </c>
      <c r="G357" t="inlineStr">
        <is>
          <t>Fechada</t>
        </is>
      </c>
      <c r="H357" s="5" t="n">
        <v>45767.60694444444</v>
      </c>
    </row>
    <row r="358">
      <c r="A358" t="inlineStr">
        <is>
          <t>OS-1856</t>
        </is>
      </c>
      <c r="B358" t="inlineStr">
        <is>
          <t>Exaustor F-17 parado</t>
        </is>
      </c>
      <c r="C358" t="inlineStr">
        <is>
          <t>Exaustor F-17 não parte. Fusível íntegro.</t>
        </is>
      </c>
      <c r="D358" t="inlineStr">
        <is>
          <t>ETE Jardim Bela Vista</t>
        </is>
      </c>
      <c r="E358" t="inlineStr">
        <is>
          <t>Média</t>
        </is>
      </c>
      <c r="F358" t="inlineStr">
        <is>
          <t>Glória Sampaio</t>
        </is>
      </c>
      <c r="G358" t="inlineStr">
        <is>
          <t>Fechada</t>
        </is>
      </c>
      <c r="H358" s="5" t="n">
        <v>45767.93472222222</v>
      </c>
    </row>
    <row r="359">
      <c r="A359" t="inlineStr">
        <is>
          <t>OS-1857</t>
        </is>
      </c>
      <c r="B359" t="inlineStr">
        <is>
          <t>Portão da área A-26 emperrado</t>
        </is>
      </c>
      <c r="C359" t="inlineStr">
        <is>
          <t>Portão de acesso da área A-26 exige força excessiva para abrir.</t>
        </is>
      </c>
      <c r="D359" t="inlineStr">
        <is>
          <t>ETA Ribeirão Fundo</t>
        </is>
      </c>
      <c r="E359" t="inlineStr">
        <is>
          <t>Média</t>
        </is>
      </c>
      <c r="F359" t="inlineStr">
        <is>
          <t>Murilo Paiva</t>
        </is>
      </c>
      <c r="G359" t="inlineStr">
        <is>
          <t>Fechada</t>
        </is>
      </c>
      <c r="H359" s="5" t="n">
        <v>45768.22083333333</v>
      </c>
    </row>
    <row r="360">
      <c r="A360" t="inlineStr">
        <is>
          <t>OS-1858</t>
        </is>
      </c>
      <c r="B360" t="inlineStr">
        <is>
          <t>Disjuntor desarmando no painel V-29</t>
        </is>
      </c>
      <c r="C360" t="inlineStr">
        <is>
          <t>Disjuntor do painel V-29 desarmou três vezes no turno. Carga dentro do nominal.</t>
        </is>
      </c>
      <c r="D360" t="inlineStr">
        <is>
          <t>Subestação Sul</t>
        </is>
      </c>
      <c r="E360" t="inlineStr">
        <is>
          <t>Baixa</t>
        </is>
      </c>
      <c r="F360" t="inlineStr">
        <is>
          <t>Daniela Pires</t>
        </is>
      </c>
      <c r="G360" t="inlineStr">
        <is>
          <t>Fechada</t>
        </is>
      </c>
      <c r="H360" s="5" t="n">
        <v>45768.53055555555</v>
      </c>
    </row>
    <row r="361">
      <c r="A361" t="inlineStr">
        <is>
          <t>OS-1859</t>
        </is>
      </c>
      <c r="B361" t="inlineStr">
        <is>
          <t>Ar-condicionado da sala T-29 sem refrigerar</t>
        </is>
      </c>
      <c r="C361" t="inlineStr">
        <is>
          <t>Ar-condicionado da sala de painéis T-29 ligado sem refrigerar.</t>
        </is>
      </c>
      <c r="D361" t="inlineStr">
        <is>
          <t>Captação Lagoa Seca</t>
        </is>
      </c>
      <c r="E361" t="inlineStr">
        <is>
          <t>Baixa</t>
        </is>
      </c>
      <c r="F361" t="inlineStr">
        <is>
          <t>Vagner Pacheco</t>
        </is>
      </c>
      <c r="G361" t="inlineStr">
        <is>
          <t>Fechada</t>
        </is>
      </c>
      <c r="H361" s="5" t="n">
        <v>45768.82916666667</v>
      </c>
    </row>
    <row r="362">
      <c r="A362" t="inlineStr">
        <is>
          <t>OS-1860</t>
        </is>
      </c>
      <c r="B362" t="inlineStr">
        <is>
          <t>Correia do ventilador C-03 desgastada</t>
        </is>
      </c>
      <c r="C362" t="inlineStr">
        <is>
          <t>Correia do ventilador C-03 com trincas visíveis e folga excessiva.</t>
        </is>
      </c>
      <c r="D362" t="inlineStr">
        <is>
          <t>Galpão de Materiais</t>
        </is>
      </c>
      <c r="E362" t="inlineStr">
        <is>
          <t>Alta</t>
        </is>
      </c>
      <c r="F362" t="inlineStr">
        <is>
          <t>Fernanda Quintela</t>
        </is>
      </c>
      <c r="G362" t="inlineStr">
        <is>
          <t>Fechada</t>
        </is>
      </c>
      <c r="H362" s="5" t="n">
        <v>45769.12361111111</v>
      </c>
    </row>
    <row r="363">
      <c r="A363" t="inlineStr">
        <is>
          <t>OS-1861</t>
        </is>
      </c>
      <c r="B363" t="inlineStr">
        <is>
          <t>Calha entupida no prédio D-10</t>
        </is>
      </c>
      <c r="C363" t="inlineStr">
        <is>
          <t>Calha do prédio D-10 transbordando em dia de chuva.</t>
        </is>
      </c>
      <c r="D363" t="inlineStr">
        <is>
          <t>ETE Rio Claro</t>
        </is>
      </c>
      <c r="E363" t="inlineStr">
        <is>
          <t>Média</t>
        </is>
      </c>
      <c r="F363" t="inlineStr">
        <is>
          <t>Úrsula Maia</t>
        </is>
      </c>
      <c r="G363" t="inlineStr">
        <is>
          <t>Fechada</t>
        </is>
      </c>
      <c r="H363" s="5" t="n">
        <v>45769.45069444444</v>
      </c>
    </row>
    <row r="364">
      <c r="A364" t="inlineStr">
        <is>
          <t>OS-1862</t>
        </is>
      </c>
      <c r="B364" t="inlineStr">
        <is>
          <t>Portão da área T-05 emperrado</t>
        </is>
      </c>
      <c r="C364" t="inlineStr">
        <is>
          <t>Portão de acesso da área T-05 exige força excessiva para abrir.</t>
        </is>
      </c>
      <c r="D364" t="inlineStr">
        <is>
          <t>Reservatório Santa Luzia</t>
        </is>
      </c>
      <c r="E364" t="inlineStr">
        <is>
          <t>Média</t>
        </is>
      </c>
      <c r="F364" t="inlineStr">
        <is>
          <t>Natália Cordeiro</t>
        </is>
      </c>
      <c r="G364" t="inlineStr">
        <is>
          <t>Fechada</t>
        </is>
      </c>
      <c r="H364" s="5" t="n">
        <v>45769.74027777778</v>
      </c>
    </row>
    <row r="365">
      <c r="A365" t="inlineStr">
        <is>
          <t>OS-1863</t>
        </is>
      </c>
      <c r="B365" t="inlineStr">
        <is>
          <t>Vazamento de óleo no redutor G-24</t>
        </is>
      </c>
      <c r="C365" t="inlineStr">
        <is>
          <t>Gotejamento de óleo no redutor G-24. Nível ainda dentro da faixa.</t>
        </is>
      </c>
      <c r="D365" t="inlineStr">
        <is>
          <t>Usina Fotovoltaica Cerrado</t>
        </is>
      </c>
      <c r="E365" t="inlineStr">
        <is>
          <t>Média</t>
        </is>
      </c>
      <c r="F365" t="inlineStr">
        <is>
          <t>Úrsula Maia</t>
        </is>
      </c>
      <c r="G365" t="inlineStr">
        <is>
          <t>Fechada</t>
        </is>
      </c>
      <c r="H365" s="5" t="n">
        <v>45770.07708333333</v>
      </c>
    </row>
    <row r="366">
      <c r="A366" t="inlineStr">
        <is>
          <t>OS-1864</t>
        </is>
      </c>
      <c r="B366" t="inlineStr">
        <is>
          <t>Válvula H-24 não fecha por completo</t>
        </is>
      </c>
      <c r="C366" t="inlineStr">
        <is>
          <t>Válvula H-24 com passagem residual mesmo totalmente fechada. Possível desgaste da sede.</t>
        </is>
      </c>
      <c r="D366" t="inlineStr">
        <is>
          <t>Galpão de Materiais</t>
        </is>
      </c>
      <c r="E366" t="inlineStr">
        <is>
          <t>Média</t>
        </is>
      </c>
      <c r="F366" t="inlineStr">
        <is>
          <t>Heloísa Barreto</t>
        </is>
      </c>
      <c r="G366" t="inlineStr">
        <is>
          <t>Fechada</t>
        </is>
      </c>
      <c r="H366" s="5" t="n">
        <v>45770.38263888889</v>
      </c>
    </row>
    <row r="367">
      <c r="A367" t="inlineStr">
        <is>
          <t>OS-1865</t>
        </is>
      </c>
      <c r="B367" t="inlineStr">
        <is>
          <t>Infiltração na parede da casa de bombas F-25</t>
        </is>
      </c>
      <c r="C367" t="inlineStr">
        <is>
          <t>Mancha de umidade crescente na parede da casa de bombas F-25.</t>
        </is>
      </c>
      <c r="D367" t="inlineStr">
        <is>
          <t>ETA Serra Azul</t>
        </is>
      </c>
      <c r="E367" t="inlineStr">
        <is>
          <t>Média</t>
        </is>
      </c>
      <c r="F367" t="inlineStr">
        <is>
          <t>Alex Nogueira</t>
        </is>
      </c>
      <c r="G367" t="inlineStr">
        <is>
          <t>Fechada</t>
        </is>
      </c>
      <c r="H367" s="5" t="n">
        <v>45770.65833333333</v>
      </c>
    </row>
    <row r="368">
      <c r="A368" t="inlineStr">
        <is>
          <t>OS-1866</t>
        </is>
      </c>
      <c r="B368" t="inlineStr">
        <is>
          <t>Correia do ventilador E-27 desgastada</t>
        </is>
      </c>
      <c r="C368" t="inlineStr">
        <is>
          <t>Correia do ventilador E-27 com trincas visíveis e folga excessiva.</t>
        </is>
      </c>
      <c r="D368" t="inlineStr">
        <is>
          <t>ETE Jardim Bela Vista</t>
        </is>
      </c>
      <c r="E368" t="inlineStr">
        <is>
          <t>Média</t>
        </is>
      </c>
      <c r="F368" t="inlineStr">
        <is>
          <t>Glória Sampaio</t>
        </is>
      </c>
      <c r="G368" t="inlineStr">
        <is>
          <t>Fechada</t>
        </is>
      </c>
      <c r="H368" s="5" t="n">
        <v>45770.97847222222</v>
      </c>
    </row>
    <row r="369">
      <c r="A369" t="inlineStr">
        <is>
          <t>OS-1867</t>
        </is>
      </c>
      <c r="B369" t="inlineStr">
        <is>
          <t>Ruído anormal no motor V-37</t>
        </is>
      </c>
      <c r="C369" t="inlineStr">
        <is>
          <t>Ruído intermitente no motor V-37 durante a partida. Temperatura normal ao toque.</t>
        </is>
      </c>
      <c r="D369" t="inlineStr">
        <is>
          <t>ETA Ribeirão Fundo</t>
        </is>
      </c>
      <c r="E369" t="inlineStr">
        <is>
          <t>Média</t>
        </is>
      </c>
      <c r="F369" t="inlineStr">
        <is>
          <t>Bernardo Leal</t>
        </is>
      </c>
      <c r="G369" t="inlineStr">
        <is>
          <t>Fechada</t>
        </is>
      </c>
      <c r="H369" s="5" t="n">
        <v>45771.25763888889</v>
      </c>
    </row>
    <row r="370">
      <c r="A370" t="inlineStr">
        <is>
          <t>OS-1868</t>
        </is>
      </c>
      <c r="B370" t="inlineStr">
        <is>
          <t>Calha entupida no prédio P-07</t>
        </is>
      </c>
      <c r="C370" t="inlineStr">
        <is>
          <t>Calha do prédio P-07 transbordando em dia de chuva.</t>
        </is>
      </c>
      <c r="D370" t="inlineStr">
        <is>
          <t>Usina Fotovoltaica Planalto</t>
        </is>
      </c>
      <c r="E370" t="inlineStr">
        <is>
          <t>Média</t>
        </is>
      </c>
      <c r="F370" t="inlineStr">
        <is>
          <t>Yara Medeiros</t>
        </is>
      </c>
      <c r="G370" t="inlineStr">
        <is>
          <t>Fechada</t>
        </is>
      </c>
      <c r="H370" s="5" t="n">
        <v>45771.56597222222</v>
      </c>
    </row>
    <row r="371">
      <c r="A371" t="inlineStr">
        <is>
          <t>OS-1869</t>
        </is>
      </c>
      <c r="B371" t="inlineStr">
        <is>
          <t>Tomada sem energia na sala H-04</t>
        </is>
      </c>
      <c r="C371" t="inlineStr">
        <is>
          <t>Tomada de serviço da sala H-04 sem tensão.</t>
        </is>
      </c>
      <c r="D371" t="inlineStr">
        <is>
          <t>Usina Fotovoltaica Planalto</t>
        </is>
      </c>
      <c r="E371" t="inlineStr">
        <is>
          <t>Crítica</t>
        </is>
      </c>
      <c r="F371" t="inlineStr">
        <is>
          <t>Thiago Bastos</t>
        </is>
      </c>
      <c r="G371" t="inlineStr">
        <is>
          <t>Fechada</t>
        </is>
      </c>
      <c r="H371" s="5" t="n">
        <v>45771.9</v>
      </c>
    </row>
    <row r="372">
      <c r="A372" t="inlineStr">
        <is>
          <t>OS-1870</t>
        </is>
      </c>
      <c r="B372" t="inlineStr">
        <is>
          <t>Disjuntor desarmando no painel V-20</t>
        </is>
      </c>
      <c r="C372" t="inlineStr">
        <is>
          <t>Disjuntor do painel V-20 desarmou três vezes no turno. Carga dentro do nominal.</t>
        </is>
      </c>
      <c r="D372" t="inlineStr">
        <is>
          <t>Booster Parque das Águas</t>
        </is>
      </c>
      <c r="E372" t="inlineStr">
        <is>
          <t>Média</t>
        </is>
      </c>
      <c r="F372" t="inlineStr">
        <is>
          <t>Lívia Montenegro</t>
        </is>
      </c>
      <c r="G372" t="inlineStr">
        <is>
          <t>Fechada</t>
        </is>
      </c>
      <c r="H372" s="5" t="n">
        <v>45772.19652777778</v>
      </c>
    </row>
    <row r="373">
      <c r="A373" t="inlineStr">
        <is>
          <t>OS-1871</t>
        </is>
      </c>
      <c r="B373" t="inlineStr">
        <is>
          <t>Vazamento na bomba P-16</t>
        </is>
      </c>
      <c r="C373" t="inlineStr">
        <is>
          <t>Vazamento pelo selo mecânico da bomba P-16. Piso molhado ao redor da base.</t>
        </is>
      </c>
      <c r="D373" t="inlineStr">
        <is>
          <t>Oficina Mecânica Central</t>
        </is>
      </c>
      <c r="E373" t="inlineStr">
        <is>
          <t>Alta</t>
        </is>
      </c>
      <c r="F373" t="inlineStr">
        <is>
          <t>Zeca Moraes</t>
        </is>
      </c>
      <c r="G373" t="inlineStr">
        <is>
          <t>Fechada</t>
        </is>
      </c>
      <c r="H373" s="5" t="n">
        <v>45772.51944444444</v>
      </c>
    </row>
    <row r="374">
      <c r="A374" t="inlineStr">
        <is>
          <t>OS-1872</t>
        </is>
      </c>
      <c r="B374" t="inlineStr">
        <is>
          <t>Correia do ventilador G-14 desgastada</t>
        </is>
      </c>
      <c r="C374" t="inlineStr">
        <is>
          <t>Correia do ventilador G-14 com trincas visíveis e folga excessiva.</t>
        </is>
      </c>
      <c r="D374" t="inlineStr">
        <is>
          <t>Usina Fotovoltaica Cerrado</t>
        </is>
      </c>
      <c r="E374" t="inlineStr">
        <is>
          <t>Média</t>
        </is>
      </c>
      <c r="F374" t="inlineStr">
        <is>
          <t>Rafael Torres</t>
        </is>
      </c>
      <c r="G374" t="inlineStr">
        <is>
          <t>Fechada</t>
        </is>
      </c>
      <c r="H374" s="5" t="n">
        <v>45772.79027777778</v>
      </c>
    </row>
    <row r="375">
      <c r="A375" t="inlineStr">
        <is>
          <t>OS-1873</t>
        </is>
      </c>
      <c r="B375" t="inlineStr">
        <is>
          <t>Disjuntor desarmando no painel M-05</t>
        </is>
      </c>
      <c r="C375" t="inlineStr">
        <is>
          <t>Disjuntor do painel M-05 desarmou três vezes no turno. Carga dentro do nominal.</t>
        </is>
      </c>
      <c r="D375" t="inlineStr">
        <is>
          <t>Subestação Norte</t>
        </is>
      </c>
      <c r="E375" t="inlineStr">
        <is>
          <t>Média</t>
        </is>
      </c>
      <c r="F375" t="inlineStr">
        <is>
          <t>Yara Medeiros</t>
        </is>
      </c>
      <c r="G375" t="inlineStr">
        <is>
          <t>Fechada</t>
        </is>
      </c>
      <c r="H375" s="5" t="n">
        <v>45773.09027777778</v>
      </c>
    </row>
    <row r="376">
      <c r="A376" t="inlineStr">
        <is>
          <t>OS-1874</t>
        </is>
      </c>
      <c r="B376" t="inlineStr">
        <is>
          <t>Sensor de nível sem leitura no tanque R-21</t>
        </is>
      </c>
      <c r="C376" t="inlineStr">
        <is>
          <t>Supervisório mostra leitura congelada do sensor de nível do tanque R-21.</t>
        </is>
      </c>
      <c r="D376" t="inlineStr">
        <is>
          <t>Booster Parque das Águas</t>
        </is>
      </c>
      <c r="E376" t="inlineStr">
        <is>
          <t>Baixa</t>
        </is>
      </c>
      <c r="F376" t="inlineStr">
        <is>
          <t>Rafael Torres</t>
        </is>
      </c>
      <c r="G376" t="inlineStr">
        <is>
          <t>Fechada</t>
        </is>
      </c>
      <c r="H376" s="5" t="n">
        <v>45773.42361111111</v>
      </c>
    </row>
    <row r="377">
      <c r="A377" t="inlineStr">
        <is>
          <t>OS-1875</t>
        </is>
      </c>
      <c r="B377" t="inlineStr">
        <is>
          <t>Lâmpada queimada na área G-05</t>
        </is>
      </c>
      <c r="C377" t="inlineStr">
        <is>
          <t>Iluminação da área G-05 sem funcionar. Reposição de lâmpada e conferência do reator.</t>
        </is>
      </c>
      <c r="D377" t="inlineStr">
        <is>
          <t>Subestação Oeste</t>
        </is>
      </c>
      <c r="E377" t="inlineStr">
        <is>
          <t>Baixa</t>
        </is>
      </c>
      <c r="F377" t="inlineStr">
        <is>
          <t>Yara Medeiros</t>
        </is>
      </c>
      <c r="G377" t="inlineStr">
        <is>
          <t>Fechada</t>
        </is>
      </c>
      <c r="H377" s="5" t="n">
        <v>45773.72638888889</v>
      </c>
    </row>
    <row r="378">
      <c r="A378" t="inlineStr">
        <is>
          <t>OS-1876</t>
        </is>
      </c>
      <c r="B378" t="inlineStr">
        <is>
          <t>Bomba dosadora R-35 sem recalque</t>
        </is>
      </c>
      <c r="C378" t="inlineStr">
        <is>
          <t>Bomba dosadora R-35 liga mas não dosa. Mangueira sem obstrução aparente.</t>
        </is>
      </c>
      <c r="D378" t="inlineStr">
        <is>
          <t>Subestação Oeste</t>
        </is>
      </c>
      <c r="E378" t="inlineStr">
        <is>
          <t>Baixa</t>
        </is>
      </c>
      <c r="F378" t="inlineStr">
        <is>
          <t>Simone Carvalho</t>
        </is>
      </c>
      <c r="G378" t="inlineStr">
        <is>
          <t>Fechada</t>
        </is>
      </c>
      <c r="H378" s="5" t="n">
        <v>45774.02847222222</v>
      </c>
    </row>
    <row r="379">
      <c r="A379" t="inlineStr">
        <is>
          <t>OS-1877</t>
        </is>
      </c>
      <c r="B379" t="inlineStr">
        <is>
          <t>Válvula R-30 não fecha por completo</t>
        </is>
      </c>
      <c r="C379" t="inlineStr">
        <is>
          <t>Válvula R-30 com passagem residual mesmo totalmente fechada. Possível desgaste da sede.</t>
        </is>
      </c>
      <c r="D379" t="inlineStr">
        <is>
          <t>Usina Fotovoltaica Planalto</t>
        </is>
      </c>
      <c r="E379" t="inlineStr">
        <is>
          <t>Alta</t>
        </is>
      </c>
      <c r="F379" t="inlineStr">
        <is>
          <t>Priscila Guedes</t>
        </is>
      </c>
      <c r="G379" t="inlineStr">
        <is>
          <t>Fechada</t>
        </is>
      </c>
      <c r="H379" s="5" t="n">
        <v>45774.31666666667</v>
      </c>
    </row>
    <row r="380">
      <c r="A380" t="inlineStr">
        <is>
          <t>OS-1878</t>
        </is>
      </c>
      <c r="B380" t="inlineStr">
        <is>
          <t>Ar-condicionado da sala P-35 sem refrigerar</t>
        </is>
      </c>
      <c r="C380" t="inlineStr">
        <is>
          <t>Ar-condicionado da sala de painéis P-35 ligado sem refrigerar.</t>
        </is>
      </c>
      <c r="D380" t="inlineStr">
        <is>
          <t>Reservatório Santa Luzia</t>
        </is>
      </c>
      <c r="E380" t="inlineStr">
        <is>
          <t>Média</t>
        </is>
      </c>
      <c r="F380" t="inlineStr">
        <is>
          <t>Kleber Antunes</t>
        </is>
      </c>
      <c r="G380" t="inlineStr">
        <is>
          <t>Fechada</t>
        </is>
      </c>
      <c r="H380" s="5" t="n">
        <v>45774.62083333333</v>
      </c>
    </row>
    <row r="381">
      <c r="A381" t="inlineStr">
        <is>
          <t>OS-1879</t>
        </is>
      </c>
      <c r="B381" t="inlineStr">
        <is>
          <t>Sensor de nível sem leitura no tanque A-13</t>
        </is>
      </c>
      <c r="C381" t="inlineStr">
        <is>
          <t>Supervisório mostra leitura congelada do sensor de nível do tanque A-13.</t>
        </is>
      </c>
      <c r="D381" t="inlineStr">
        <is>
          <t>Sede Administrativa</t>
        </is>
      </c>
      <c r="E381" t="inlineStr">
        <is>
          <t>Alta</t>
        </is>
      </c>
      <c r="F381" t="inlineStr">
        <is>
          <t>Hugo Albuquerque</t>
        </is>
      </c>
      <c r="G381" t="inlineStr">
        <is>
          <t>Fechada</t>
        </is>
      </c>
      <c r="H381" s="5" t="n">
        <v>45774.95486111111</v>
      </c>
    </row>
    <row r="382">
      <c r="A382" t="inlineStr">
        <is>
          <t>OS-1880</t>
        </is>
      </c>
      <c r="B382" t="inlineStr">
        <is>
          <t>Ruído anormal no motor M-15</t>
        </is>
      </c>
      <c r="C382" t="inlineStr">
        <is>
          <t>Ruído intermitente no motor M-15 durante a partida. Temperatura normal ao toque.</t>
        </is>
      </c>
      <c r="D382" t="inlineStr">
        <is>
          <t>Base Operacional Litoral</t>
        </is>
      </c>
      <c r="E382" t="inlineStr">
        <is>
          <t>Média</t>
        </is>
      </c>
      <c r="F382" t="inlineStr">
        <is>
          <t>Bernardo Leal</t>
        </is>
      </c>
      <c r="G382" t="inlineStr">
        <is>
          <t>Fechada</t>
        </is>
      </c>
      <c r="H382" s="5" t="n">
        <v>45775.23541666667</v>
      </c>
    </row>
    <row r="383">
      <c r="A383" t="inlineStr">
        <is>
          <t>OS-1881</t>
        </is>
      </c>
      <c r="B383" t="inlineStr">
        <is>
          <t>Infiltração na parede da casa de bombas F-28</t>
        </is>
      </c>
      <c r="C383" t="inlineStr">
        <is>
          <t>Mancha de umidade crescente na parede da casa de bombas F-28.</t>
        </is>
      </c>
      <c r="D383" t="inlineStr">
        <is>
          <t>ETE Jardim Bela Vista</t>
        </is>
      </c>
      <c r="E383" t="inlineStr">
        <is>
          <t>Média</t>
        </is>
      </c>
      <c r="F383" t="inlineStr">
        <is>
          <t>Gabriel Matos</t>
        </is>
      </c>
      <c r="G383" t="inlineStr">
        <is>
          <t>Fechada</t>
        </is>
      </c>
      <c r="H383" s="5" t="n">
        <v>45775.56805555556</v>
      </c>
    </row>
    <row r="384">
      <c r="A384" t="inlineStr">
        <is>
          <t>OS-1882</t>
        </is>
      </c>
      <c r="B384" t="inlineStr">
        <is>
          <t>Tomada sem energia na sala H-32</t>
        </is>
      </c>
      <c r="C384" t="inlineStr">
        <is>
          <t>Tomada de serviço da sala H-32 sem tensão.</t>
        </is>
      </c>
      <c r="D384" t="inlineStr">
        <is>
          <t>ETA Central</t>
        </is>
      </c>
      <c r="E384" t="inlineStr">
        <is>
          <t>Média</t>
        </is>
      </c>
      <c r="F384" t="inlineStr">
        <is>
          <t>Beatriz Farias</t>
        </is>
      </c>
      <c r="G384" t="inlineStr">
        <is>
          <t>Fechada</t>
        </is>
      </c>
      <c r="H384" s="5" t="n">
        <v>45775.85694444444</v>
      </c>
    </row>
    <row r="385">
      <c r="A385" t="inlineStr">
        <is>
          <t>OS-1883</t>
        </is>
      </c>
      <c r="B385" t="inlineStr">
        <is>
          <t>Disjuntor desarmando no painel H-30</t>
        </is>
      </c>
      <c r="C385" t="inlineStr">
        <is>
          <t>Disjuntor do painel H-30 desarmou três vezes no turno. Carga dentro do nominal.</t>
        </is>
      </c>
      <c r="D385" t="inlineStr">
        <is>
          <t>ETE Rio Claro</t>
        </is>
      </c>
      <c r="E385" t="inlineStr">
        <is>
          <t>Alta</t>
        </is>
      </c>
      <c r="F385" t="inlineStr">
        <is>
          <t>Zeca Moraes</t>
        </is>
      </c>
      <c r="G385" t="inlineStr">
        <is>
          <t>Fechada</t>
        </is>
      </c>
      <c r="H385" s="5" t="n">
        <v>45776.17430555556</v>
      </c>
    </row>
    <row r="386">
      <c r="A386" t="inlineStr">
        <is>
          <t>OS-1884</t>
        </is>
      </c>
      <c r="B386" t="inlineStr">
        <is>
          <t>Sensor de nível sem leitura no tanque D-08</t>
        </is>
      </c>
      <c r="C386" t="inlineStr">
        <is>
          <t>Supervisório mostra leitura congelada do sensor de nível do tanque D-08.</t>
        </is>
      </c>
      <c r="D386" t="inlineStr">
        <is>
          <t>Reservatório Alto da Colina</t>
        </is>
      </c>
      <c r="E386" t="inlineStr">
        <is>
          <t>Média</t>
        </is>
      </c>
      <c r="F386" t="inlineStr">
        <is>
          <t>Cíntia Freitas</t>
        </is>
      </c>
      <c r="G386" t="inlineStr">
        <is>
          <t>Fechada</t>
        </is>
      </c>
      <c r="H386" s="5" t="n">
        <v>45776.48055555556</v>
      </c>
    </row>
    <row r="387">
      <c r="A387" t="inlineStr">
        <is>
          <t>OS-1885</t>
        </is>
      </c>
      <c r="B387" t="inlineStr">
        <is>
          <t>Disjuntor desarmando no painel C-35</t>
        </is>
      </c>
      <c r="C387" t="inlineStr">
        <is>
          <t>Disjuntor do painel C-35 desarmou três vezes no turno. Carga dentro do nominal.</t>
        </is>
      </c>
      <c r="D387" t="inlineStr">
        <is>
          <t>Adutora Tronco Sul</t>
        </is>
      </c>
      <c r="E387" t="inlineStr">
        <is>
          <t>Baixa</t>
        </is>
      </c>
      <c r="F387" t="inlineStr">
        <is>
          <t>Caio Rangel</t>
        </is>
      </c>
      <c r="G387" t="inlineStr">
        <is>
          <t>Fechada</t>
        </is>
      </c>
      <c r="H387" s="5" t="n">
        <v>45776.76458333333</v>
      </c>
    </row>
    <row r="388">
      <c r="A388" t="inlineStr">
        <is>
          <t>OS-1886</t>
        </is>
      </c>
      <c r="B388" t="inlineStr">
        <is>
          <t>Pintura descascada na estrutura G-18</t>
        </is>
      </c>
      <c r="C388" t="inlineStr">
        <is>
          <t>Estrutura metálica G-18 com pontos de corrosão sob a pintura.</t>
        </is>
      </c>
      <c r="D388" t="inlineStr">
        <is>
          <t>Subestação Norte</t>
        </is>
      </c>
      <c r="E388" t="inlineStr">
        <is>
          <t>Alta</t>
        </is>
      </c>
      <c r="F388" t="inlineStr">
        <is>
          <t>Zeca Moraes</t>
        </is>
      </c>
      <c r="G388" t="inlineStr">
        <is>
          <t>Fechada</t>
        </is>
      </c>
      <c r="H388" s="5" t="n">
        <v>45777.08819444444</v>
      </c>
    </row>
    <row r="389">
      <c r="A389" t="inlineStr">
        <is>
          <t>OS-1887</t>
        </is>
      </c>
      <c r="B389" t="inlineStr">
        <is>
          <t>Ar-condicionado da sala C-19 sem refrigerar</t>
        </is>
      </c>
      <c r="C389" t="inlineStr">
        <is>
          <t>Ar-condicionado da sala de painéis C-19 ligado sem refrigerar.</t>
        </is>
      </c>
      <c r="D389" t="inlineStr">
        <is>
          <t>Captação Rio Verde</t>
        </is>
      </c>
      <c r="E389" t="inlineStr">
        <is>
          <t>Média</t>
        </is>
      </c>
      <c r="F389" t="inlineStr">
        <is>
          <t>Thiago Bastos</t>
        </is>
      </c>
      <c r="G389" t="inlineStr">
        <is>
          <t>Fechada</t>
        </is>
      </c>
      <c r="H389" s="5" t="n">
        <v>45777.35972222222</v>
      </c>
    </row>
    <row r="390">
      <c r="A390" t="inlineStr">
        <is>
          <t>OS-1888</t>
        </is>
      </c>
      <c r="B390" t="inlineStr">
        <is>
          <t>Vazamento na bomba D-02</t>
        </is>
      </c>
      <c r="C390" t="inlineStr">
        <is>
          <t>Vazamento pelo selo mecânico da bomba D-02. Piso molhado ao redor da base.</t>
        </is>
      </c>
      <c r="D390" t="inlineStr">
        <is>
          <t>Subestação Sul</t>
        </is>
      </c>
      <c r="E390" t="inlineStr">
        <is>
          <t>Baixa</t>
        </is>
      </c>
      <c r="F390" t="inlineStr">
        <is>
          <t>Danilo Peixoto</t>
        </is>
      </c>
      <c r="G390" t="inlineStr">
        <is>
          <t>Fechada</t>
        </is>
      </c>
      <c r="H390" s="5" t="n">
        <v>45777.68819444445</v>
      </c>
    </row>
    <row r="391">
      <c r="A391" t="inlineStr">
        <is>
          <t>OS-1889</t>
        </is>
      </c>
      <c r="B391" t="inlineStr">
        <is>
          <t>Ruído anormal no motor D-16</t>
        </is>
      </c>
      <c r="C391" t="inlineStr">
        <is>
          <t>Ruído intermitente no motor D-16 durante a partida. Temperatura normal ao toque.</t>
        </is>
      </c>
      <c r="D391" t="inlineStr">
        <is>
          <t>Captação Lagoa Seca</t>
        </is>
      </c>
      <c r="E391" t="inlineStr">
        <is>
          <t>Baixa</t>
        </is>
      </c>
      <c r="F391" t="inlineStr">
        <is>
          <t>Simone Carvalho</t>
        </is>
      </c>
      <c r="G391" t="inlineStr">
        <is>
          <t>Fechada</t>
        </is>
      </c>
      <c r="H391" s="5" t="n">
        <v>45777.97569444445</v>
      </c>
    </row>
    <row r="392">
      <c r="A392" t="inlineStr">
        <is>
          <t>OS-1890</t>
        </is>
      </c>
      <c r="B392" t="inlineStr">
        <is>
          <t>Vazamento de óleo no redutor R-15</t>
        </is>
      </c>
      <c r="C392" t="inlineStr">
        <is>
          <t>Gotejamento de óleo no redutor R-15. Nível ainda dentro da faixa.</t>
        </is>
      </c>
      <c r="D392" t="inlineStr">
        <is>
          <t>Subestação Oeste</t>
        </is>
      </c>
      <c r="E392" t="inlineStr">
        <is>
          <t>Baixa</t>
        </is>
      </c>
      <c r="F392" t="inlineStr">
        <is>
          <t>Fernanda Quintela</t>
        </is>
      </c>
      <c r="G392" t="inlineStr">
        <is>
          <t>Fechada</t>
        </is>
      </c>
      <c r="H392" s="5" t="n">
        <v>45778.28055555555</v>
      </c>
    </row>
    <row r="393">
      <c r="A393" t="inlineStr">
        <is>
          <t>OS-1891</t>
        </is>
      </c>
      <c r="B393" t="inlineStr">
        <is>
          <t>Sensor de nível sem leitura no tanque G-29</t>
        </is>
      </c>
      <c r="C393" t="inlineStr">
        <is>
          <t>Supervisório mostra leitura congelada do sensor de nível do tanque G-29.</t>
        </is>
      </c>
      <c r="D393" t="inlineStr">
        <is>
          <t>Oficina Mecânica Central</t>
        </is>
      </c>
      <c r="E393" t="inlineStr">
        <is>
          <t>Média</t>
        </is>
      </c>
      <c r="F393" t="inlineStr">
        <is>
          <t>Ingrid Queiroz</t>
        </is>
      </c>
      <c r="G393" t="inlineStr">
        <is>
          <t>Fechada</t>
        </is>
      </c>
      <c r="H393" s="5" t="n">
        <v>45778.57986111111</v>
      </c>
    </row>
    <row r="394">
      <c r="A394" t="inlineStr">
        <is>
          <t>OS-1892</t>
        </is>
      </c>
      <c r="B394" t="inlineStr">
        <is>
          <t>Sensor de nível sem leitura no tanque P-31</t>
        </is>
      </c>
      <c r="C394" t="inlineStr">
        <is>
          <t>Supervisório mostra leitura congelada do sensor de nível do tanque P-31.</t>
        </is>
      </c>
      <c r="D394" t="inlineStr">
        <is>
          <t>Base Operacional Norte</t>
        </is>
      </c>
      <c r="E394" t="inlineStr">
        <is>
          <t>Alta</t>
        </is>
      </c>
      <c r="F394" t="inlineStr">
        <is>
          <t>Érica Andrade</t>
        </is>
      </c>
      <c r="G394" t="inlineStr">
        <is>
          <t>Fechada</t>
        </is>
      </c>
      <c r="H394" s="5" t="n">
        <v>45778.89861111111</v>
      </c>
    </row>
    <row r="395">
      <c r="A395" t="inlineStr">
        <is>
          <t>OS-1893</t>
        </is>
      </c>
      <c r="B395" t="inlineStr">
        <is>
          <t>Lâmpada queimada na área C-05</t>
        </is>
      </c>
      <c r="C395" t="inlineStr">
        <is>
          <t>Iluminação da área C-05 sem funcionar. Reposição de lâmpada e conferência do reator.</t>
        </is>
      </c>
      <c r="D395" t="inlineStr">
        <is>
          <t>Subestação Norte</t>
        </is>
      </c>
      <c r="E395" t="inlineStr">
        <is>
          <t>Baixa</t>
        </is>
      </c>
      <c r="F395" t="inlineStr">
        <is>
          <t>Natália Cordeiro</t>
        </is>
      </c>
      <c r="G395" t="inlineStr">
        <is>
          <t>Fechada</t>
        </is>
      </c>
      <c r="H395" s="5" t="n">
        <v>45779.23055555556</v>
      </c>
    </row>
    <row r="396">
      <c r="A396" t="inlineStr">
        <is>
          <t>OS-1894</t>
        </is>
      </c>
      <c r="B396" t="inlineStr">
        <is>
          <t>Exaustor A-39 parado</t>
        </is>
      </c>
      <c r="C396" t="inlineStr">
        <is>
          <t>Exaustor A-39 não parte. Fusível íntegro.</t>
        </is>
      </c>
      <c r="D396" t="inlineStr">
        <is>
          <t>Reservatório Alto da Colina</t>
        </is>
      </c>
      <c r="E396" t="inlineStr">
        <is>
          <t>Baixa</t>
        </is>
      </c>
      <c r="F396" t="inlineStr">
        <is>
          <t>Fernanda Quintela</t>
        </is>
      </c>
      <c r="G396" t="inlineStr">
        <is>
          <t>Fechada</t>
        </is>
      </c>
      <c r="H396" s="5" t="n">
        <v>45779.53263888889</v>
      </c>
    </row>
    <row r="397">
      <c r="A397" t="inlineStr">
        <is>
          <t>OS-1895</t>
        </is>
      </c>
      <c r="B397" t="inlineStr">
        <is>
          <t>Infiltração na parede da casa de bombas A-20</t>
        </is>
      </c>
      <c r="C397" t="inlineStr">
        <is>
          <t>Mancha de umidade crescente na parede da casa de bombas A-20.</t>
        </is>
      </c>
      <c r="D397" t="inlineStr">
        <is>
          <t>Subestação Sul</t>
        </is>
      </c>
      <c r="E397" t="inlineStr">
        <is>
          <t>Média</t>
        </is>
      </c>
      <c r="F397" t="inlineStr">
        <is>
          <t>Otávio Lacerda</t>
        </is>
      </c>
      <c r="G397" t="inlineStr">
        <is>
          <t>Fechada</t>
        </is>
      </c>
      <c r="H397" s="5" t="n">
        <v>45779.82569444444</v>
      </c>
    </row>
    <row r="398">
      <c r="A398" t="inlineStr">
        <is>
          <t>OS-1896</t>
        </is>
      </c>
      <c r="B398" t="inlineStr">
        <is>
          <t>Vazamento de óleo no redutor A-06</t>
        </is>
      </c>
      <c r="C398" t="inlineStr">
        <is>
          <t>Gotejamento de óleo no redutor A-06. Nível ainda dentro da faixa.</t>
        </is>
      </c>
      <c r="D398" t="inlineStr">
        <is>
          <t>Estação Elevatória Porto</t>
        </is>
      </c>
      <c r="E398" t="inlineStr">
        <is>
          <t>Média</t>
        </is>
      </c>
      <c r="F398" t="inlineStr">
        <is>
          <t>Igor Fonseca</t>
        </is>
      </c>
      <c r="G398" t="inlineStr">
        <is>
          <t>Fechada</t>
        </is>
      </c>
      <c r="H398" s="5" t="n">
        <v>45780.11388888889</v>
      </c>
    </row>
    <row r="399">
      <c r="A399" t="inlineStr">
        <is>
          <t>OS-1897</t>
        </is>
      </c>
      <c r="B399" t="inlineStr">
        <is>
          <t>Falha de comunicação no CLP E-40</t>
        </is>
      </c>
      <c r="C399" t="inlineStr">
        <is>
          <t>CLP E-40 perde comunicação com o supervisório em intervalos irregulares.</t>
        </is>
      </c>
      <c r="D399" t="inlineStr">
        <is>
          <t>Almoxarifado Central</t>
        </is>
      </c>
      <c r="E399" t="inlineStr">
        <is>
          <t>Baixa</t>
        </is>
      </c>
      <c r="F399" t="inlineStr">
        <is>
          <t>Glória Sampaio</t>
        </is>
      </c>
      <c r="G399" t="inlineStr">
        <is>
          <t>Fechada</t>
        </is>
      </c>
      <c r="H399" s="5" t="n">
        <v>45780.44930555556</v>
      </c>
    </row>
    <row r="400">
      <c r="A400" t="inlineStr">
        <is>
          <t>OS-1898</t>
        </is>
      </c>
      <c r="B400" t="inlineStr">
        <is>
          <t>Válvula E-36 não fecha por completo</t>
        </is>
      </c>
      <c r="C400" t="inlineStr">
        <is>
          <t>Válvula E-36 com passagem residual mesmo totalmente fechada. Possível desgaste da sede.</t>
        </is>
      </c>
      <c r="D400" t="inlineStr">
        <is>
          <t>Laboratório de Controle</t>
        </is>
      </c>
      <c r="E400" t="inlineStr">
        <is>
          <t>Média</t>
        </is>
      </c>
      <c r="F400" t="inlineStr">
        <is>
          <t>Glória Sampaio</t>
        </is>
      </c>
      <c r="G400" t="inlineStr">
        <is>
          <t>Fechada</t>
        </is>
      </c>
      <c r="H400" s="5" t="n">
        <v>45780.73541666667</v>
      </c>
    </row>
    <row r="401">
      <c r="A401" t="inlineStr">
        <is>
          <t>OS-1899</t>
        </is>
      </c>
      <c r="B401" t="inlineStr">
        <is>
          <t>Bomba dosadora H-30 sem recalque</t>
        </is>
      </c>
      <c r="C401" t="inlineStr">
        <is>
          <t>Bomba dosadora H-30 liga mas não dosa. Mangueira sem obstrução aparente.</t>
        </is>
      </c>
      <c r="D401" t="inlineStr">
        <is>
          <t>Almoxarifado Central</t>
        </is>
      </c>
      <c r="E401" t="inlineStr">
        <is>
          <t>Baixa</t>
        </is>
      </c>
      <c r="F401" t="inlineStr">
        <is>
          <t>Beatriz Farias</t>
        </is>
      </c>
      <c r="G401" t="inlineStr">
        <is>
          <t>Fechada</t>
        </is>
      </c>
      <c r="H401" s="5" t="n">
        <v>45781.04236111111</v>
      </c>
    </row>
    <row r="402">
      <c r="A402" t="inlineStr">
        <is>
          <t>OS-1900</t>
        </is>
      </c>
      <c r="B402" t="inlineStr">
        <is>
          <t>Pintura descascada na estrutura H-21</t>
        </is>
      </c>
      <c r="C402" t="inlineStr">
        <is>
          <t>Estrutura metálica H-21 com pontos de corrosão sob a pintura.</t>
        </is>
      </c>
      <c r="D402" t="inlineStr">
        <is>
          <t>ETE Vale do Sol</t>
        </is>
      </c>
      <c r="E402" t="inlineStr">
        <is>
          <t>Alta</t>
        </is>
      </c>
      <c r="F402" t="inlineStr">
        <is>
          <t>Aline Rocha</t>
        </is>
      </c>
      <c r="G402" t="inlineStr">
        <is>
          <t>Fechada</t>
        </is>
      </c>
      <c r="H402" s="5" t="n">
        <v>45781.33611111111</v>
      </c>
    </row>
    <row r="403">
      <c r="A403" t="inlineStr">
        <is>
          <t>OS-1901</t>
        </is>
      </c>
      <c r="B403" t="inlineStr">
        <is>
          <t>Ruído anormal no motor V-01</t>
        </is>
      </c>
      <c r="C403" t="inlineStr">
        <is>
          <t>Ruído intermitente no motor V-01 durante a partida. Temperatura normal ao toque.</t>
        </is>
      </c>
      <c r="D403" t="inlineStr">
        <is>
          <t>Centro de Operações</t>
        </is>
      </c>
      <c r="E403" t="inlineStr">
        <is>
          <t>Alta</t>
        </is>
      </c>
      <c r="F403" t="inlineStr">
        <is>
          <t>Jonas Teles</t>
        </is>
      </c>
      <c r="G403" t="inlineStr">
        <is>
          <t>Fechada</t>
        </is>
      </c>
      <c r="H403" s="5" t="n">
        <v>45781.64444444444</v>
      </c>
    </row>
    <row r="404">
      <c r="A404" t="inlineStr">
        <is>
          <t>OS-1902</t>
        </is>
      </c>
      <c r="B404" t="inlineStr">
        <is>
          <t>Troca de filtro do compressor F-13</t>
        </is>
      </c>
      <c r="C404" t="inlineStr">
        <is>
          <t>Filtro de ar do compressor F-13 saturado. Substituição preventiva.</t>
        </is>
      </c>
      <c r="D404" t="inlineStr">
        <is>
          <t>Base Operacional Sul</t>
        </is>
      </c>
      <c r="E404" t="inlineStr">
        <is>
          <t>Média</t>
        </is>
      </c>
      <c r="F404" t="inlineStr">
        <is>
          <t>Eduardo Salles</t>
        </is>
      </c>
      <c r="G404" t="inlineStr">
        <is>
          <t>Fechada</t>
        </is>
      </c>
      <c r="H404" s="5" t="n">
        <v>45781.96736111111</v>
      </c>
    </row>
    <row r="405">
      <c r="A405" t="inlineStr">
        <is>
          <t>OS-1903</t>
        </is>
      </c>
      <c r="B405" t="inlineStr">
        <is>
          <t>Portão da área R-23 emperrado</t>
        </is>
      </c>
      <c r="C405" t="inlineStr">
        <is>
          <t>Portão de acesso da área R-23 exige força excessiva para abrir.</t>
        </is>
      </c>
      <c r="D405" t="inlineStr">
        <is>
          <t>Estação de Bombeamento Vila Nova</t>
        </is>
      </c>
      <c r="E405" t="inlineStr">
        <is>
          <t>Alta</t>
        </is>
      </c>
      <c r="F405" t="inlineStr">
        <is>
          <t>Kleber Antunes</t>
        </is>
      </c>
      <c r="G405" t="inlineStr">
        <is>
          <t>Fechada</t>
        </is>
      </c>
      <c r="H405" s="5" t="n">
        <v>45782.27708333333</v>
      </c>
    </row>
    <row r="406">
      <c r="A406" t="inlineStr">
        <is>
          <t>OS-1904</t>
        </is>
      </c>
      <c r="B406" t="inlineStr">
        <is>
          <t>Ar-condicionado da sala H-40 sem refrigerar</t>
        </is>
      </c>
      <c r="C406" t="inlineStr">
        <is>
          <t>Ar-condicionado da sala de painéis H-40 ligado sem refrigerar.</t>
        </is>
      </c>
      <c r="D406" t="inlineStr">
        <is>
          <t>ETE Vale do Sol</t>
        </is>
      </c>
      <c r="E406" t="inlineStr">
        <is>
          <t>Média</t>
        </is>
      </c>
      <c r="F406" t="inlineStr">
        <is>
          <t>Aline Rocha</t>
        </is>
      </c>
      <c r="G406" t="inlineStr">
        <is>
          <t>Fechada</t>
        </is>
      </c>
      <c r="H406" s="5" t="n">
        <v>45782.57986111111</v>
      </c>
    </row>
    <row r="407">
      <c r="A407" t="inlineStr">
        <is>
          <t>OS-1905</t>
        </is>
      </c>
      <c r="B407" t="inlineStr">
        <is>
          <t>Válvula G-05 não fecha por completo</t>
        </is>
      </c>
      <c r="C407" t="inlineStr">
        <is>
          <t>Válvula G-05 com passagem residual mesmo totalmente fechada. Possível desgaste da sede.</t>
        </is>
      </c>
      <c r="D407" t="inlineStr">
        <is>
          <t>Galpão de Materiais</t>
        </is>
      </c>
      <c r="E407" t="inlineStr">
        <is>
          <t>Média</t>
        </is>
      </c>
      <c r="F407" t="inlineStr">
        <is>
          <t>Bernardo Leal</t>
        </is>
      </c>
      <c r="G407" t="inlineStr">
        <is>
          <t>Fechada</t>
        </is>
      </c>
      <c r="H407" s="5" t="n">
        <v>45782.88402777778</v>
      </c>
    </row>
    <row r="408">
      <c r="A408" t="inlineStr">
        <is>
          <t>OS-1906</t>
        </is>
      </c>
      <c r="B408" t="inlineStr">
        <is>
          <t>Lâmpada queimada na área E-38</t>
        </is>
      </c>
      <c r="C408" t="inlineStr">
        <is>
          <t>Iluminação da área E-38 sem funcionar. Reposição de lâmpada e conferência do reator.</t>
        </is>
      </c>
      <c r="D408" t="inlineStr">
        <is>
          <t>Reservatório Alto da Colina</t>
        </is>
      </c>
      <c r="E408" t="inlineStr">
        <is>
          <t>Baixa</t>
        </is>
      </c>
      <c r="F408" t="inlineStr">
        <is>
          <t>Otávio Lacerda</t>
        </is>
      </c>
      <c r="G408" t="inlineStr">
        <is>
          <t>Fechada</t>
        </is>
      </c>
      <c r="H408" s="5" t="n">
        <v>45783.15625</v>
      </c>
    </row>
    <row r="409">
      <c r="A409" t="inlineStr">
        <is>
          <t>OS-1907</t>
        </is>
      </c>
      <c r="B409" t="inlineStr">
        <is>
          <t>Sensor de nível sem leitura no tanque D-22</t>
        </is>
      </c>
      <c r="C409" t="inlineStr">
        <is>
          <t>Supervisório mostra leitura congelada do sensor de nível do tanque D-22.</t>
        </is>
      </c>
      <c r="D409" t="inlineStr">
        <is>
          <t>Subestação Oeste</t>
        </is>
      </c>
      <c r="E409" t="inlineStr">
        <is>
          <t>Alta</t>
        </is>
      </c>
      <c r="F409" t="inlineStr">
        <is>
          <t>Igor Fonseca</t>
        </is>
      </c>
      <c r="G409" t="inlineStr">
        <is>
          <t>Fechada</t>
        </is>
      </c>
      <c r="H409" s="5" t="n">
        <v>45783.49930555555</v>
      </c>
    </row>
    <row r="410">
      <c r="A410" t="inlineStr">
        <is>
          <t>OS-1908</t>
        </is>
      </c>
      <c r="B410" t="inlineStr">
        <is>
          <t>Ruído anormal no motor P-30</t>
        </is>
      </c>
      <c r="C410" t="inlineStr">
        <is>
          <t>Ruído intermitente no motor P-30 durante a partida. Temperatura normal ao toque.</t>
        </is>
      </c>
      <c r="D410" t="inlineStr">
        <is>
          <t>Estação Elevatória Oeste</t>
        </is>
      </c>
      <c r="E410" t="inlineStr">
        <is>
          <t>Baixa</t>
        </is>
      </c>
      <c r="F410" t="inlineStr">
        <is>
          <t>Fernanda Quintela</t>
        </is>
      </c>
      <c r="G410" t="inlineStr">
        <is>
          <t>Fechada</t>
        </is>
      </c>
      <c r="H410" s="5" t="n">
        <v>45783.7875</v>
      </c>
    </row>
    <row r="411">
      <c r="A411" t="inlineStr">
        <is>
          <t>OS-1909</t>
        </is>
      </c>
      <c r="B411" t="inlineStr">
        <is>
          <t>Troca de filtro do compressor R-11</t>
        </is>
      </c>
      <c r="C411" t="inlineStr">
        <is>
          <t>Filtro de ar do compressor R-11 saturado. Substituição preventiva.</t>
        </is>
      </c>
      <c r="D411" t="inlineStr">
        <is>
          <t>Base Operacional Litoral</t>
        </is>
      </c>
      <c r="E411" t="inlineStr">
        <is>
          <t>Média</t>
        </is>
      </c>
      <c r="F411" t="inlineStr">
        <is>
          <t>Gabriel Matos</t>
        </is>
      </c>
      <c r="G411" t="inlineStr">
        <is>
          <t>Fechada</t>
        </is>
      </c>
      <c r="H411" s="5" t="n">
        <v>45784.08125</v>
      </c>
    </row>
    <row r="412">
      <c r="A412" t="inlineStr">
        <is>
          <t>OS-1910</t>
        </is>
      </c>
      <c r="B412" t="inlineStr">
        <is>
          <t>Válvula F-28 não fecha por completo</t>
        </is>
      </c>
      <c r="C412" t="inlineStr">
        <is>
          <t>Válvula F-28 com passagem residual mesmo totalmente fechada. Possível desgaste da sede.</t>
        </is>
      </c>
      <c r="D412" t="inlineStr">
        <is>
          <t>ETE Jardim Bela Vista</t>
        </is>
      </c>
      <c r="E412" t="inlineStr">
        <is>
          <t>Média</t>
        </is>
      </c>
      <c r="F412" t="inlineStr">
        <is>
          <t>Caio Rangel</t>
        </is>
      </c>
      <c r="G412" t="inlineStr">
        <is>
          <t>Fechada</t>
        </is>
      </c>
      <c r="H412" s="5" t="n">
        <v>45784.39583333334</v>
      </c>
    </row>
    <row r="413">
      <c r="A413" t="inlineStr">
        <is>
          <t>OS-1911</t>
        </is>
      </c>
      <c r="B413" t="inlineStr">
        <is>
          <t>Ruído anormal no motor V-14</t>
        </is>
      </c>
      <c r="C413" t="inlineStr">
        <is>
          <t>Ruído intermitente no motor V-14 durante a partida. Temperatura normal ao toque.</t>
        </is>
      </c>
      <c r="D413" t="inlineStr">
        <is>
          <t>Base Operacional Norte</t>
        </is>
      </c>
      <c r="E413" t="inlineStr">
        <is>
          <t>Crítica</t>
        </is>
      </c>
      <c r="F413" t="inlineStr">
        <is>
          <t>Simone Carvalho</t>
        </is>
      </c>
      <c r="G413" t="inlineStr">
        <is>
          <t>Fechada</t>
        </is>
      </c>
      <c r="H413" s="5" t="n">
        <v>45784.72152777778</v>
      </c>
    </row>
    <row r="414">
      <c r="A414" t="inlineStr">
        <is>
          <t>OS-1912</t>
        </is>
      </c>
      <c r="B414" t="inlineStr">
        <is>
          <t>Ar-condicionado da sala A-16 sem refrigerar</t>
        </is>
      </c>
      <c r="C414" t="inlineStr">
        <is>
          <t>Ar-condicionado da sala de painéis A-16 ligado sem refrigerar.</t>
        </is>
      </c>
      <c r="D414" t="inlineStr">
        <is>
          <t>ETA Serra Azul</t>
        </is>
      </c>
      <c r="E414" t="inlineStr">
        <is>
          <t>Baixa</t>
        </is>
      </c>
      <c r="F414" t="inlineStr">
        <is>
          <t>Jonas Teles</t>
        </is>
      </c>
      <c r="G414" t="inlineStr">
        <is>
          <t>Fechada</t>
        </is>
      </c>
      <c r="H414" s="5" t="n">
        <v>45785.02361111111</v>
      </c>
    </row>
    <row r="415">
      <c r="A415" t="inlineStr">
        <is>
          <t>OS-1913</t>
        </is>
      </c>
      <c r="B415" t="inlineStr">
        <is>
          <t>Lâmpada queimada na área F-39</t>
        </is>
      </c>
      <c r="C415" t="inlineStr">
        <is>
          <t>Iluminação da área F-39 sem funcionar. Reposição de lâmpada e conferência do reator.</t>
        </is>
      </c>
      <c r="D415" t="inlineStr">
        <is>
          <t>Oficina Mecânica Central</t>
        </is>
      </c>
      <c r="E415" t="inlineStr">
        <is>
          <t>Média</t>
        </is>
      </c>
      <c r="F415" t="inlineStr">
        <is>
          <t>Zeca Moraes</t>
        </is>
      </c>
      <c r="G415" t="inlineStr">
        <is>
          <t>Fechada</t>
        </is>
      </c>
      <c r="H415" s="5" t="n">
        <v>45785.30138888889</v>
      </c>
    </row>
    <row r="416">
      <c r="A416" t="inlineStr">
        <is>
          <t>OS-1914</t>
        </is>
      </c>
      <c r="B416" t="inlineStr">
        <is>
          <t>Vazamento de óleo no redutor G-40</t>
        </is>
      </c>
      <c r="C416" t="inlineStr">
        <is>
          <t>Gotejamento de óleo no redutor G-40. Nível ainda dentro da faixa.</t>
        </is>
      </c>
      <c r="D416" t="inlineStr">
        <is>
          <t>Base Operacional Litoral</t>
        </is>
      </c>
      <c r="E416" t="inlineStr">
        <is>
          <t>Média</t>
        </is>
      </c>
      <c r="F416" t="inlineStr">
        <is>
          <t>Simone Carvalho</t>
        </is>
      </c>
      <c r="G416" t="inlineStr">
        <is>
          <t>Fechada</t>
        </is>
      </c>
      <c r="H416" s="5" t="n">
        <v>45785.61319444444</v>
      </c>
    </row>
    <row r="417">
      <c r="A417" t="inlineStr">
        <is>
          <t>OS-1915</t>
        </is>
      </c>
      <c r="B417" t="inlineStr">
        <is>
          <t>Calha entupida no prédio H-04</t>
        </is>
      </c>
      <c r="C417" t="inlineStr">
        <is>
          <t>Calha do prédio H-04 transbordando em dia de chuva.</t>
        </is>
      </c>
      <c r="D417" t="inlineStr">
        <is>
          <t>Adutora Tronco Norte</t>
        </is>
      </c>
      <c r="E417" t="inlineStr">
        <is>
          <t>Baixa</t>
        </is>
      </c>
      <c r="F417" t="inlineStr">
        <is>
          <t>Daniela Pires</t>
        </is>
      </c>
      <c r="G417" t="inlineStr">
        <is>
          <t>Fechada</t>
        </is>
      </c>
      <c r="H417" s="5" t="n">
        <v>45785.90138888889</v>
      </c>
    </row>
    <row r="418">
      <c r="A418" t="inlineStr">
        <is>
          <t>OS-1916</t>
        </is>
      </c>
      <c r="B418" t="inlineStr">
        <is>
          <t>Calha entupida no prédio R-15</t>
        </is>
      </c>
      <c r="C418" t="inlineStr">
        <is>
          <t>Calha do prédio R-15 transbordando em dia de chuva.</t>
        </is>
      </c>
      <c r="D418" t="inlineStr">
        <is>
          <t>Reservatório Alto da Colina</t>
        </is>
      </c>
      <c r="E418" t="inlineStr">
        <is>
          <t>Média</t>
        </is>
      </c>
      <c r="F418" t="inlineStr">
        <is>
          <t>Érica Andrade</t>
        </is>
      </c>
      <c r="G418" t="inlineStr">
        <is>
          <t>Fechada</t>
        </is>
      </c>
      <c r="H418" s="5" t="n">
        <v>45786.22916666666</v>
      </c>
    </row>
    <row r="419">
      <c r="A419" t="inlineStr">
        <is>
          <t>OS-1917</t>
        </is>
      </c>
      <c r="B419" t="inlineStr">
        <is>
          <t>Disjuntor desarmando no painel A-26</t>
        </is>
      </c>
      <c r="C419" t="inlineStr">
        <is>
          <t>Disjuntor do painel A-26 desarmou três vezes no turno. Carga dentro do nominal.</t>
        </is>
      </c>
      <c r="D419" t="inlineStr">
        <is>
          <t>Captação Rio Verde</t>
        </is>
      </c>
      <c r="E419" t="inlineStr">
        <is>
          <t>Baixa</t>
        </is>
      </c>
      <c r="F419" t="inlineStr">
        <is>
          <t>Flávio Gusmão</t>
        </is>
      </c>
      <c r="G419" t="inlineStr">
        <is>
          <t>Fechada</t>
        </is>
      </c>
      <c r="H419" s="5" t="n">
        <v>45786.52152777778</v>
      </c>
    </row>
    <row r="420">
      <c r="A420" t="inlineStr">
        <is>
          <t>OS-1918</t>
        </is>
      </c>
      <c r="B420" t="inlineStr">
        <is>
          <t>Ruído anormal no motor D-02</t>
        </is>
      </c>
      <c r="C420" t="inlineStr">
        <is>
          <t>Ruído intermitente no motor D-02 durante a partida. Temperatura normal ao toque.</t>
        </is>
      </c>
      <c r="D420" t="inlineStr">
        <is>
          <t>Base Operacional Serra</t>
        </is>
      </c>
      <c r="E420" t="inlineStr">
        <is>
          <t>Baixa</t>
        </is>
      </c>
      <c r="F420" t="inlineStr">
        <is>
          <t>Priscila Guedes</t>
        </is>
      </c>
      <c r="G420" t="inlineStr">
        <is>
          <t>Fechada</t>
        </is>
      </c>
      <c r="H420" s="5" t="n">
        <v>45786.82777777778</v>
      </c>
    </row>
    <row r="421">
      <c r="A421" t="inlineStr">
        <is>
          <t>OS-1919</t>
        </is>
      </c>
      <c r="B421" t="inlineStr">
        <is>
          <t>Falha de comunicação no CLP D-10</t>
        </is>
      </c>
      <c r="C421" t="inlineStr">
        <is>
          <t>CLP D-10 perde comunicação com o supervisório em intervalos irregulares.</t>
        </is>
      </c>
      <c r="D421" t="inlineStr">
        <is>
          <t>Adutora Tronco Sul</t>
        </is>
      </c>
      <c r="E421" t="inlineStr">
        <is>
          <t>Baixa</t>
        </is>
      </c>
      <c r="F421" t="inlineStr">
        <is>
          <t>Marcos Vinícius Rocha</t>
        </is>
      </c>
      <c r="G421" t="inlineStr">
        <is>
          <t>Fechada</t>
        </is>
      </c>
      <c r="H421" s="5" t="n">
        <v>45787.14444444444</v>
      </c>
    </row>
    <row r="422">
      <c r="A422" t="inlineStr">
        <is>
          <t>OS-1920</t>
        </is>
      </c>
      <c r="B422" t="inlineStr">
        <is>
          <t>Tomada sem energia na sala D-28</t>
        </is>
      </c>
      <c r="C422" t="inlineStr">
        <is>
          <t>Tomada de serviço da sala D-28 sem tensão.</t>
        </is>
      </c>
      <c r="D422" t="inlineStr">
        <is>
          <t>ETA Ribeirão Fundo</t>
        </is>
      </c>
      <c r="E422" t="inlineStr">
        <is>
          <t>Crítica</t>
        </is>
      </c>
      <c r="F422" t="inlineStr">
        <is>
          <t>Thiago Bastos</t>
        </is>
      </c>
      <c r="G422" t="inlineStr">
        <is>
          <t>Fechada</t>
        </is>
      </c>
      <c r="H422" s="5" t="n">
        <v>45787.45972222222</v>
      </c>
    </row>
    <row r="423">
      <c r="A423" t="inlineStr">
        <is>
          <t>OS-1921</t>
        </is>
      </c>
      <c r="B423" t="inlineStr">
        <is>
          <t>Aquecimento no mancal do motor D-09</t>
        </is>
      </c>
      <c r="C423" t="inlineStr">
        <is>
          <t>Mancal do motor D-09 acima da temperatura usual na medição com termômetro infravermelho.</t>
        </is>
      </c>
      <c r="D423" t="inlineStr">
        <is>
          <t>Estação de Bombeamento Vila Nova</t>
        </is>
      </c>
      <c r="E423" t="inlineStr">
        <is>
          <t>Baixa</t>
        </is>
      </c>
      <c r="F423" t="inlineStr">
        <is>
          <t>Flávio Gusmão</t>
        </is>
      </c>
      <c r="G423" t="inlineStr">
        <is>
          <t>Fechada</t>
        </is>
      </c>
      <c r="H423" s="5" t="n">
        <v>45787.75277777778</v>
      </c>
    </row>
    <row r="424">
      <c r="A424" t="inlineStr">
        <is>
          <t>OS-1922</t>
        </is>
      </c>
      <c r="B424" t="inlineStr">
        <is>
          <t>Vazamento na bomba M-18</t>
        </is>
      </c>
      <c r="C424" t="inlineStr">
        <is>
          <t>Vazamento pelo selo mecânico da bomba M-18. Piso molhado ao redor da base.</t>
        </is>
      </c>
      <c r="D424" t="inlineStr">
        <is>
          <t>Laboratório de Controle</t>
        </is>
      </c>
      <c r="E424" t="inlineStr">
        <is>
          <t>Média</t>
        </is>
      </c>
      <c r="F424" t="inlineStr">
        <is>
          <t>Igor Fonseca</t>
        </is>
      </c>
      <c r="G424" t="inlineStr">
        <is>
          <t>Fechada</t>
        </is>
      </c>
      <c r="H424" s="5" t="n">
        <v>45788.06597222222</v>
      </c>
    </row>
    <row r="425">
      <c r="A425" t="inlineStr">
        <is>
          <t>OS-1923</t>
        </is>
      </c>
      <c r="B425" t="inlineStr">
        <is>
          <t>Exaustor H-35 parado</t>
        </is>
      </c>
      <c r="C425" t="inlineStr">
        <is>
          <t>Exaustor H-35 não parte. Fusível íntegro.</t>
        </is>
      </c>
      <c r="D425" t="inlineStr">
        <is>
          <t>Reservatório Alto da Colina</t>
        </is>
      </c>
      <c r="E425" t="inlineStr">
        <is>
          <t>Baixa</t>
        </is>
      </c>
      <c r="F425" t="inlineStr">
        <is>
          <t>Danilo Peixoto</t>
        </is>
      </c>
      <c r="G425" t="inlineStr">
        <is>
          <t>Fechada</t>
        </is>
      </c>
      <c r="H425" s="5" t="n">
        <v>45788.34375</v>
      </c>
    </row>
    <row r="426">
      <c r="A426" t="inlineStr">
        <is>
          <t>OS-1924</t>
        </is>
      </c>
      <c r="B426" t="inlineStr">
        <is>
          <t>Portão da área A-17 emperrado</t>
        </is>
      </c>
      <c r="C426" t="inlineStr">
        <is>
          <t>Portão de acesso da área A-17 exige força excessiva para abrir.</t>
        </is>
      </c>
      <c r="D426" t="inlineStr">
        <is>
          <t>Usina Fotovoltaica Cerrado</t>
        </is>
      </c>
      <c r="E426" t="inlineStr">
        <is>
          <t>Alta</t>
        </is>
      </c>
      <c r="F426" t="inlineStr">
        <is>
          <t>Vagner Pacheco</t>
        </is>
      </c>
      <c r="G426" t="inlineStr">
        <is>
          <t>Fechada</t>
        </is>
      </c>
      <c r="H426" s="5" t="n">
        <v>45788.6875</v>
      </c>
    </row>
    <row r="427">
      <c r="A427" t="inlineStr">
        <is>
          <t>OS-1925</t>
        </is>
      </c>
      <c r="B427" t="inlineStr">
        <is>
          <t>Válvula H-01 não fecha por completo</t>
        </is>
      </c>
      <c r="C427" t="inlineStr">
        <is>
          <t>Válvula H-01 com passagem residual mesmo totalmente fechada. Possível desgaste da sede.</t>
        </is>
      </c>
      <c r="D427" t="inlineStr">
        <is>
          <t>ETE Vale do Sol</t>
        </is>
      </c>
      <c r="E427" t="inlineStr">
        <is>
          <t>Alta</t>
        </is>
      </c>
      <c r="F427" t="inlineStr">
        <is>
          <t>Cíntia Freitas</t>
        </is>
      </c>
      <c r="G427" t="inlineStr">
        <is>
          <t>Fechada</t>
        </is>
      </c>
      <c r="H427" s="5" t="n">
        <v>45788.98263888889</v>
      </c>
    </row>
    <row r="428">
      <c r="A428" t="inlineStr">
        <is>
          <t>OS-1926</t>
        </is>
      </c>
      <c r="B428" t="inlineStr">
        <is>
          <t>Infiltração na parede da casa de bombas A-38</t>
        </is>
      </c>
      <c r="C428" t="inlineStr">
        <is>
          <t>Mancha de umidade crescente na parede da casa de bombas A-38.</t>
        </is>
      </c>
      <c r="D428" t="inlineStr">
        <is>
          <t>Reservatório Industrial</t>
        </is>
      </c>
      <c r="E428" t="inlineStr">
        <is>
          <t>Média</t>
        </is>
      </c>
      <c r="F428" t="inlineStr">
        <is>
          <t>Vagner Pacheco</t>
        </is>
      </c>
      <c r="G428" t="inlineStr">
        <is>
          <t>Fechada</t>
        </is>
      </c>
      <c r="H428" s="5" t="n">
        <v>45789.27777777778</v>
      </c>
    </row>
    <row r="429">
      <c r="A429" t="inlineStr">
        <is>
          <t>OS-1927</t>
        </is>
      </c>
      <c r="B429" t="inlineStr">
        <is>
          <t>Falha de comunicação no CLP M-19</t>
        </is>
      </c>
      <c r="C429" t="inlineStr">
        <is>
          <t>CLP M-19 perde comunicação com o supervisório em intervalos irregulares.</t>
        </is>
      </c>
      <c r="D429" t="inlineStr">
        <is>
          <t>Torre de Telecomunicação Morro Alto</t>
        </is>
      </c>
      <c r="E429" t="inlineStr">
        <is>
          <t>Baixa</t>
        </is>
      </c>
      <c r="F429" t="inlineStr">
        <is>
          <t>Danilo Peixoto</t>
        </is>
      </c>
      <c r="G429" t="inlineStr">
        <is>
          <t>Fechada</t>
        </is>
      </c>
      <c r="H429" s="5" t="n">
        <v>45789.58333333334</v>
      </c>
    </row>
    <row r="430">
      <c r="A430" t="inlineStr">
        <is>
          <t>OS-1928</t>
        </is>
      </c>
      <c r="B430" t="inlineStr">
        <is>
          <t>Tomada sem energia na sala C-32</t>
        </is>
      </c>
      <c r="C430" t="inlineStr">
        <is>
          <t>Tomada de serviço da sala C-32 sem tensão.</t>
        </is>
      </c>
      <c r="D430" t="inlineStr">
        <is>
          <t>Booster Parque das Águas</t>
        </is>
      </c>
      <c r="E430" t="inlineStr">
        <is>
          <t>Baixa</t>
        </is>
      </c>
      <c r="F430" t="inlineStr">
        <is>
          <t>Vagner Pacheco</t>
        </is>
      </c>
      <c r="G430" t="inlineStr">
        <is>
          <t>Fechada</t>
        </is>
      </c>
      <c r="H430" s="5" t="n">
        <v>45789.90208333333</v>
      </c>
    </row>
    <row r="431">
      <c r="A431" t="inlineStr">
        <is>
          <t>OS-1929</t>
        </is>
      </c>
      <c r="B431" t="inlineStr">
        <is>
          <t>Infiltração na parede da casa de bombas D-04</t>
        </is>
      </c>
      <c r="C431" t="inlineStr">
        <is>
          <t>Mancha de umidade crescente na parede da casa de bombas D-04.</t>
        </is>
      </c>
      <c r="D431" t="inlineStr">
        <is>
          <t>Adutora Tronco Sul</t>
        </is>
      </c>
      <c r="E431" t="inlineStr">
        <is>
          <t>Baixa</t>
        </is>
      </c>
      <c r="F431" t="inlineStr">
        <is>
          <t>Heloísa Barreto</t>
        </is>
      </c>
      <c r="G431" t="inlineStr">
        <is>
          <t>Fechada</t>
        </is>
      </c>
      <c r="H431" s="5" t="n">
        <v>45790.1875</v>
      </c>
    </row>
    <row r="432">
      <c r="A432" t="inlineStr">
        <is>
          <t>OS-1930</t>
        </is>
      </c>
      <c r="B432" t="inlineStr">
        <is>
          <t>Aquecimento no mancal do motor A-18</t>
        </is>
      </c>
      <c r="C432" t="inlineStr">
        <is>
          <t>Mancal do motor A-18 acima da temperatura usual na medição com termômetro infravermelho.</t>
        </is>
      </c>
      <c r="D432" t="inlineStr">
        <is>
          <t>Adutora Tronco Sul</t>
        </is>
      </c>
      <c r="E432" t="inlineStr">
        <is>
          <t>Média</t>
        </is>
      </c>
      <c r="F432" t="inlineStr">
        <is>
          <t>Yara Medeiros</t>
        </is>
      </c>
      <c r="G432" t="inlineStr">
        <is>
          <t>Fechada</t>
        </is>
      </c>
      <c r="H432" s="5" t="n">
        <v>45790.50694444445</v>
      </c>
    </row>
    <row r="433">
      <c r="A433" t="inlineStr">
        <is>
          <t>OS-1931</t>
        </is>
      </c>
      <c r="B433" t="inlineStr">
        <is>
          <t>Vazamento na bomba M-39</t>
        </is>
      </c>
      <c r="C433" t="inlineStr">
        <is>
          <t>Vazamento pelo selo mecânico da bomba M-39. Piso molhado ao redor da base.</t>
        </is>
      </c>
      <c r="D433" t="inlineStr">
        <is>
          <t>Oficina Elétrica Central</t>
        </is>
      </c>
      <c r="E433" t="inlineStr">
        <is>
          <t>Média</t>
        </is>
      </c>
      <c r="F433" t="inlineStr">
        <is>
          <t>Ingrid Queiroz</t>
        </is>
      </c>
      <c r="G433" t="inlineStr">
        <is>
          <t>Fechada</t>
        </is>
      </c>
      <c r="H433" s="5" t="n">
        <v>45790.8</v>
      </c>
    </row>
    <row r="434">
      <c r="A434" t="inlineStr">
        <is>
          <t>OS-1932</t>
        </is>
      </c>
      <c r="B434" t="inlineStr">
        <is>
          <t>Ruído anormal no motor C-10</t>
        </is>
      </c>
      <c r="C434" t="inlineStr">
        <is>
          <t>Ruído intermitente no motor C-10 durante a partida. Temperatura normal ao toque.</t>
        </is>
      </c>
      <c r="D434" t="inlineStr">
        <is>
          <t>Usina Fotovoltaica Planalto</t>
        </is>
      </c>
      <c r="E434" t="inlineStr">
        <is>
          <t>Baixa</t>
        </is>
      </c>
      <c r="F434" t="inlineStr">
        <is>
          <t>Otávio Lacerda</t>
        </is>
      </c>
      <c r="G434" t="inlineStr">
        <is>
          <t>Fechada</t>
        </is>
      </c>
      <c r="H434" s="5" t="n">
        <v>45791.09583333333</v>
      </c>
    </row>
    <row r="435">
      <c r="A435" t="inlineStr">
        <is>
          <t>OS-1933</t>
        </is>
      </c>
      <c r="B435" t="inlineStr">
        <is>
          <t>Medidor de vazão F-08 com leitura instável</t>
        </is>
      </c>
      <c r="C435" t="inlineStr">
        <is>
          <t>Medidor de vazão F-08 oscila sem variação de processo.</t>
        </is>
      </c>
      <c r="D435" t="inlineStr">
        <is>
          <t>Sede Administrativa</t>
        </is>
      </c>
      <c r="E435" t="inlineStr">
        <is>
          <t>Média</t>
        </is>
      </c>
      <c r="F435" t="inlineStr">
        <is>
          <t>Ingrid Queiroz</t>
        </is>
      </c>
      <c r="G435" t="inlineStr">
        <is>
          <t>Fechada</t>
        </is>
      </c>
      <c r="H435" s="5" t="n">
        <v>45791.40902777778</v>
      </c>
    </row>
    <row r="436">
      <c r="A436" t="inlineStr">
        <is>
          <t>OS-1934</t>
        </is>
      </c>
      <c r="B436" t="inlineStr">
        <is>
          <t>Vazamento na bomba V-40</t>
        </is>
      </c>
      <c r="C436" t="inlineStr">
        <is>
          <t>Vazamento pelo selo mecânico da bomba V-40. Piso molhado ao redor da base.</t>
        </is>
      </c>
      <c r="D436" t="inlineStr">
        <is>
          <t>Torre de Telecomunicação Morro Alto</t>
        </is>
      </c>
      <c r="E436" t="inlineStr">
        <is>
          <t>Crítica</t>
        </is>
      </c>
      <c r="F436" t="inlineStr">
        <is>
          <t>Vagner Pacheco</t>
        </is>
      </c>
      <c r="G436" t="inlineStr">
        <is>
          <t>Fechada</t>
        </is>
      </c>
      <c r="H436" s="5" t="n">
        <v>45791.72777777778</v>
      </c>
    </row>
    <row r="437">
      <c r="A437" t="inlineStr">
        <is>
          <t>OS-1935</t>
        </is>
      </c>
      <c r="B437" t="inlineStr">
        <is>
          <t>Aquecimento no mancal do motor M-11</t>
        </is>
      </c>
      <c r="C437" t="inlineStr">
        <is>
          <t>Mancal do motor M-11 acima da temperatura usual na medição com termômetro infravermelho.</t>
        </is>
      </c>
      <c r="D437" t="inlineStr">
        <is>
          <t>Reservatório Santa Luzia</t>
        </is>
      </c>
      <c r="E437" t="inlineStr">
        <is>
          <t>Média</t>
        </is>
      </c>
      <c r="F437" t="inlineStr">
        <is>
          <t>Aline Rocha</t>
        </is>
      </c>
      <c r="G437" t="inlineStr">
        <is>
          <t>Fechada</t>
        </is>
      </c>
      <c r="H437" s="5" t="n">
        <v>45792.00833333333</v>
      </c>
    </row>
    <row r="438">
      <c r="A438" t="inlineStr">
        <is>
          <t>OS-1936</t>
        </is>
      </c>
      <c r="B438" t="inlineStr">
        <is>
          <t>Calha entupida no prédio R-39</t>
        </is>
      </c>
      <c r="C438" t="inlineStr">
        <is>
          <t>Calha do prédio R-39 transbordando em dia de chuva.</t>
        </is>
      </c>
      <c r="D438" t="inlineStr">
        <is>
          <t>Centro de Operações</t>
        </is>
      </c>
      <c r="E438" t="inlineStr">
        <is>
          <t>Baixa</t>
        </is>
      </c>
      <c r="F438" t="inlineStr">
        <is>
          <t>Otávio Lacerda</t>
        </is>
      </c>
      <c r="G438" t="inlineStr">
        <is>
          <t>Fechada</t>
        </is>
      </c>
      <c r="H438" s="5" t="n">
        <v>45792.32916666667</v>
      </c>
    </row>
    <row r="439">
      <c r="A439" t="inlineStr">
        <is>
          <t>OS-1937</t>
        </is>
      </c>
      <c r="B439" t="inlineStr">
        <is>
          <t>Vazamento de óleo no redutor G-03</t>
        </is>
      </c>
      <c r="C439" t="inlineStr">
        <is>
          <t>Gotejamento de óleo no redutor G-03. Nível ainda dentro da faixa.</t>
        </is>
      </c>
      <c r="D439" t="inlineStr">
        <is>
          <t>Sede Administrativa</t>
        </is>
      </c>
      <c r="E439" t="inlineStr">
        <is>
          <t>Alta</t>
        </is>
      </c>
      <c r="F439" t="inlineStr">
        <is>
          <t>Otávio Lacerda</t>
        </is>
      </c>
      <c r="G439" t="inlineStr">
        <is>
          <t>Fechada</t>
        </is>
      </c>
      <c r="H439" s="5" t="n">
        <v>45792.62152777778</v>
      </c>
    </row>
    <row r="440">
      <c r="A440" t="inlineStr">
        <is>
          <t>OS-1938</t>
        </is>
      </c>
      <c r="B440" t="inlineStr">
        <is>
          <t>Ruído anormal no motor M-28</t>
        </is>
      </c>
      <c r="C440" t="inlineStr">
        <is>
          <t>Ruído intermitente no motor M-28 durante a partida. Temperatura normal ao toque.</t>
        </is>
      </c>
      <c r="D440" t="inlineStr">
        <is>
          <t>Captação Lagoa Seca</t>
        </is>
      </c>
      <c r="E440" t="inlineStr">
        <is>
          <t>Alta</t>
        </is>
      </c>
      <c r="F440" t="inlineStr">
        <is>
          <t>Marcos Vinícius Rocha</t>
        </is>
      </c>
      <c r="G440" t="inlineStr">
        <is>
          <t>Fechada</t>
        </is>
      </c>
      <c r="H440" s="5" t="n">
        <v>45792.92638888889</v>
      </c>
    </row>
    <row r="441">
      <c r="A441" t="inlineStr">
        <is>
          <t>OS-1939</t>
        </is>
      </c>
      <c r="B441" t="inlineStr">
        <is>
          <t>Tomada sem energia na sala E-05</t>
        </is>
      </c>
      <c r="C441" t="inlineStr">
        <is>
          <t>Tomada de serviço da sala E-05 sem tensão.</t>
        </is>
      </c>
      <c r="D441" t="inlineStr">
        <is>
          <t>Oficina Mecânica Central</t>
        </is>
      </c>
      <c r="E441" t="inlineStr">
        <is>
          <t>Alta</t>
        </is>
      </c>
      <c r="F441" t="inlineStr">
        <is>
          <t>Cíntia Freitas</t>
        </is>
      </c>
      <c r="G441" t="inlineStr">
        <is>
          <t>Fechada</t>
        </is>
      </c>
      <c r="H441" s="5" t="n">
        <v>45793.25138888889</v>
      </c>
    </row>
    <row r="442">
      <c r="A442" t="inlineStr">
        <is>
          <t>OS-1940</t>
        </is>
      </c>
      <c r="B442" t="inlineStr">
        <is>
          <t>Válvula M-19 não fecha por completo</t>
        </is>
      </c>
      <c r="C442" t="inlineStr">
        <is>
          <t>Válvula M-19 com passagem residual mesmo totalmente fechada. Possível desgaste da sede.</t>
        </is>
      </c>
      <c r="D442" t="inlineStr">
        <is>
          <t>Sede Administrativa</t>
        </is>
      </c>
      <c r="E442" t="inlineStr">
        <is>
          <t>Média</t>
        </is>
      </c>
      <c r="F442" t="inlineStr">
        <is>
          <t>Zeca Moraes</t>
        </is>
      </c>
      <c r="G442" t="inlineStr">
        <is>
          <t>Fechada</t>
        </is>
      </c>
      <c r="H442" s="5" t="n">
        <v>45793.53402777778</v>
      </c>
    </row>
    <row r="443">
      <c r="A443" t="inlineStr">
        <is>
          <t>OS-1941</t>
        </is>
      </c>
      <c r="B443" t="inlineStr">
        <is>
          <t>Ar-condicionado da sala F-12 sem refrigerar</t>
        </is>
      </c>
      <c r="C443" t="inlineStr">
        <is>
          <t>Ar-condicionado da sala de painéis F-12 ligado sem refrigerar.</t>
        </is>
      </c>
      <c r="D443" t="inlineStr">
        <is>
          <t>Estação Elevatória Porto</t>
        </is>
      </c>
      <c r="E443" t="inlineStr">
        <is>
          <t>Média</t>
        </is>
      </c>
      <c r="F443" t="inlineStr">
        <is>
          <t>Caio Rangel</t>
        </is>
      </c>
      <c r="G443" t="inlineStr">
        <is>
          <t>Fechada</t>
        </is>
      </c>
      <c r="H443" s="5" t="n">
        <v>45793.83680555555</v>
      </c>
    </row>
    <row r="444">
      <c r="A444" t="inlineStr">
        <is>
          <t>OS-1942</t>
        </is>
      </c>
      <c r="B444" t="inlineStr">
        <is>
          <t>Tomada sem energia na sala P-12</t>
        </is>
      </c>
      <c r="C444" t="inlineStr">
        <is>
          <t>Tomada de serviço da sala P-12 sem tensão.</t>
        </is>
      </c>
      <c r="D444" t="inlineStr">
        <is>
          <t>Estação de Bombeamento Três Pontes</t>
        </is>
      </c>
      <c r="E444" t="inlineStr">
        <is>
          <t>Baixa</t>
        </is>
      </c>
      <c r="F444" t="inlineStr">
        <is>
          <t>Aline Rocha</t>
        </is>
      </c>
      <c r="G444" t="inlineStr">
        <is>
          <t>Fechada</t>
        </is>
      </c>
      <c r="H444" s="5" t="n">
        <v>45794.15416666667</v>
      </c>
    </row>
    <row r="445">
      <c r="A445" t="inlineStr">
        <is>
          <t>OS-1943</t>
        </is>
      </c>
      <c r="B445" t="inlineStr">
        <is>
          <t>Exaustor H-27 parado</t>
        </is>
      </c>
      <c r="C445" t="inlineStr">
        <is>
          <t>Exaustor H-27 não parte. Fusível íntegro.</t>
        </is>
      </c>
      <c r="D445" t="inlineStr">
        <is>
          <t>Sede Administrativa</t>
        </is>
      </c>
      <c r="E445" t="inlineStr">
        <is>
          <t>Alta</t>
        </is>
      </c>
      <c r="F445" t="inlineStr">
        <is>
          <t>Danilo Peixoto</t>
        </is>
      </c>
      <c r="G445" t="inlineStr">
        <is>
          <t>Fechada</t>
        </is>
      </c>
      <c r="H445" s="5" t="n">
        <v>45794.47916666666</v>
      </c>
    </row>
    <row r="446">
      <c r="A446" t="inlineStr">
        <is>
          <t>OS-1944</t>
        </is>
      </c>
      <c r="B446" t="inlineStr">
        <is>
          <t>Portão da área H-38 emperrado</t>
        </is>
      </c>
      <c r="C446" t="inlineStr">
        <is>
          <t>Portão de acesso da área H-38 exige força excessiva para abrir.</t>
        </is>
      </c>
      <c r="D446" t="inlineStr">
        <is>
          <t>Subestação Leste</t>
        </is>
      </c>
      <c r="E446" t="inlineStr">
        <is>
          <t>Média</t>
        </is>
      </c>
      <c r="F446" t="inlineStr">
        <is>
          <t>Úrsula Maia</t>
        </is>
      </c>
      <c r="G446" t="inlineStr">
        <is>
          <t>Fechada</t>
        </is>
      </c>
      <c r="H446" s="5" t="n">
        <v>45794.78541666667</v>
      </c>
    </row>
    <row r="447">
      <c r="A447" t="inlineStr">
        <is>
          <t>OS-1945</t>
        </is>
      </c>
      <c r="B447" t="inlineStr">
        <is>
          <t>Calha entupida no prédio F-08</t>
        </is>
      </c>
      <c r="C447" t="inlineStr">
        <is>
          <t>Calha do prédio F-08 transbordando em dia de chuva.</t>
        </is>
      </c>
      <c r="D447" t="inlineStr">
        <is>
          <t>Base Operacional Serra</t>
        </is>
      </c>
      <c r="E447" t="inlineStr">
        <is>
          <t>Alta</t>
        </is>
      </c>
      <c r="F447" t="inlineStr">
        <is>
          <t>Beatriz Farias</t>
        </is>
      </c>
      <c r="G447" t="inlineStr">
        <is>
          <t>Fechada</t>
        </is>
      </c>
      <c r="H447" s="5" t="n">
        <v>45795.07777777778</v>
      </c>
    </row>
    <row r="448">
      <c r="A448" t="inlineStr">
        <is>
          <t>OS-1946</t>
        </is>
      </c>
      <c r="B448" t="inlineStr">
        <is>
          <t>Disjuntor desarmando no painel T-37</t>
        </is>
      </c>
      <c r="C448" t="inlineStr">
        <is>
          <t>Disjuntor do painel T-37 desarmou três vezes no turno. Carga dentro do nominal.</t>
        </is>
      </c>
      <c r="D448" t="inlineStr">
        <is>
          <t>Base Operacional Sul</t>
        </is>
      </c>
      <c r="E448" t="inlineStr">
        <is>
          <t>Média</t>
        </is>
      </c>
      <c r="F448" t="inlineStr">
        <is>
          <t>Daniela Pires</t>
        </is>
      </c>
      <c r="G448" t="inlineStr">
        <is>
          <t>Fechada</t>
        </is>
      </c>
      <c r="H448" s="5" t="n">
        <v>45795.38194444445</v>
      </c>
    </row>
    <row r="449">
      <c r="A449" t="inlineStr">
        <is>
          <t>OS-1947</t>
        </is>
      </c>
      <c r="B449" t="inlineStr">
        <is>
          <t>Lâmpada queimada na área H-10</t>
        </is>
      </c>
      <c r="C449" t="inlineStr">
        <is>
          <t>Iluminação da área H-10 sem funcionar. Reposição de lâmpada e conferência do reator.</t>
        </is>
      </c>
      <c r="D449" t="inlineStr">
        <is>
          <t>Pátio de Veículos</t>
        </is>
      </c>
      <c r="E449" t="inlineStr">
        <is>
          <t>Média</t>
        </is>
      </c>
      <c r="F449" t="inlineStr">
        <is>
          <t>Kleber Antunes</t>
        </is>
      </c>
      <c r="G449" t="inlineStr">
        <is>
          <t>Fechada</t>
        </is>
      </c>
      <c r="H449" s="5" t="n">
        <v>45795.7</v>
      </c>
    </row>
    <row r="450">
      <c r="A450" t="inlineStr">
        <is>
          <t>OS-1948</t>
        </is>
      </c>
      <c r="B450" t="inlineStr">
        <is>
          <t>Bomba dosadora F-24 sem recalque</t>
        </is>
      </c>
      <c r="C450" t="inlineStr">
        <is>
          <t>Bomba dosadora F-24 liga mas não dosa. Mangueira sem obstrução aparente.</t>
        </is>
      </c>
      <c r="D450" t="inlineStr">
        <is>
          <t>Subestação Leste</t>
        </is>
      </c>
      <c r="E450" t="inlineStr">
        <is>
          <t>Baixa</t>
        </is>
      </c>
      <c r="F450" t="inlineStr">
        <is>
          <t>Ingrid Queiroz</t>
        </is>
      </c>
      <c r="G450" t="inlineStr">
        <is>
          <t>Fechada</t>
        </is>
      </c>
      <c r="H450" s="5" t="n">
        <v>45796.00277777778</v>
      </c>
    </row>
    <row r="451">
      <c r="A451" t="inlineStr">
        <is>
          <t>OS-1949</t>
        </is>
      </c>
      <c r="B451" t="inlineStr">
        <is>
          <t>Falha de comunicação no CLP G-04</t>
        </is>
      </c>
      <c r="C451" t="inlineStr">
        <is>
          <t>CLP G-04 perde comunicação com o supervisório em intervalos irregulares.</t>
        </is>
      </c>
      <c r="D451" t="inlineStr">
        <is>
          <t>Booster Parque das Águas</t>
        </is>
      </c>
      <c r="E451" t="inlineStr">
        <is>
          <t>Baixa</t>
        </is>
      </c>
      <c r="F451" t="inlineStr">
        <is>
          <t>Simone Carvalho</t>
        </is>
      </c>
      <c r="G451" t="inlineStr">
        <is>
          <t>Fechada</t>
        </is>
      </c>
      <c r="H451" s="5" t="n">
        <v>45796.28958333333</v>
      </c>
    </row>
    <row r="452">
      <c r="A452" t="inlineStr">
        <is>
          <t>OS-1950</t>
        </is>
      </c>
      <c r="B452" t="inlineStr">
        <is>
          <t>Ar-condicionado da sala R-01 sem refrigerar</t>
        </is>
      </c>
      <c r="C452" t="inlineStr">
        <is>
          <t>Ar-condicionado da sala de painéis R-01 ligado sem refrigerar.</t>
        </is>
      </c>
      <c r="D452" t="inlineStr">
        <is>
          <t>Estação Elevatória Oeste</t>
        </is>
      </c>
      <c r="E452" t="inlineStr">
        <is>
          <t>Baixa</t>
        </is>
      </c>
      <c r="F452" t="inlineStr">
        <is>
          <t>Yara Medeiros</t>
        </is>
      </c>
      <c r="G452" t="inlineStr">
        <is>
          <t>Fechada</t>
        </is>
      </c>
      <c r="H452" s="5" t="n">
        <v>45796.59444444445</v>
      </c>
    </row>
    <row r="453">
      <c r="A453" t="inlineStr">
        <is>
          <t>OS-1951</t>
        </is>
      </c>
      <c r="B453" t="inlineStr">
        <is>
          <t>Troca de filtro do compressor P-18</t>
        </is>
      </c>
      <c r="C453" t="inlineStr">
        <is>
          <t>Filtro de ar do compressor P-18 saturado. Substituição preventiva.</t>
        </is>
      </c>
      <c r="D453" t="inlineStr">
        <is>
          <t>Booster Morada do Sol</t>
        </is>
      </c>
      <c r="E453" t="inlineStr">
        <is>
          <t>Média</t>
        </is>
      </c>
      <c r="F453" t="inlineStr">
        <is>
          <t>Kleber Antunes</t>
        </is>
      </c>
      <c r="G453" t="inlineStr">
        <is>
          <t>Fechada</t>
        </is>
      </c>
      <c r="H453" s="5" t="n">
        <v>45796.89097222222</v>
      </c>
    </row>
    <row r="454">
      <c r="A454" t="inlineStr">
        <is>
          <t>OS-1952</t>
        </is>
      </c>
      <c r="B454" t="inlineStr">
        <is>
          <t>Disjuntor desarmando no painel G-10</t>
        </is>
      </c>
      <c r="C454" t="inlineStr">
        <is>
          <t>Disjuntor do painel G-10 desarmou três vezes no turno. Carga dentro do nominal.</t>
        </is>
      </c>
      <c r="D454" t="inlineStr">
        <is>
          <t>Estação Elevatória Leste</t>
        </is>
      </c>
      <c r="E454" t="inlineStr">
        <is>
          <t>Média</t>
        </is>
      </c>
      <c r="F454" t="inlineStr">
        <is>
          <t>Jonas Teles</t>
        </is>
      </c>
      <c r="G454" t="inlineStr">
        <is>
          <t>Fechada</t>
        </is>
      </c>
      <c r="H454" s="5" t="n">
        <v>45797.19861111111</v>
      </c>
    </row>
    <row r="455">
      <c r="A455" t="inlineStr">
        <is>
          <t>OS-1953</t>
        </is>
      </c>
      <c r="B455" t="inlineStr">
        <is>
          <t>Lâmpada queimada na área A-22</t>
        </is>
      </c>
      <c r="C455" t="inlineStr">
        <is>
          <t>Iluminação da área A-22 sem funcionar. Reposição de lâmpada e conferência do reator.</t>
        </is>
      </c>
      <c r="D455" t="inlineStr">
        <is>
          <t>ETA Ribeirão Fundo</t>
        </is>
      </c>
      <c r="E455" t="inlineStr">
        <is>
          <t>Média</t>
        </is>
      </c>
      <c r="F455" t="inlineStr">
        <is>
          <t>Zeca Moraes</t>
        </is>
      </c>
      <c r="G455" t="inlineStr">
        <is>
          <t>Fechada</t>
        </is>
      </c>
      <c r="H455" s="5" t="n">
        <v>45797.50277777778</v>
      </c>
    </row>
    <row r="456">
      <c r="A456" t="inlineStr">
        <is>
          <t>OS-1954</t>
        </is>
      </c>
      <c r="B456" t="inlineStr">
        <is>
          <t>Sensor de nível sem leitura no tanque V-12</t>
        </is>
      </c>
      <c r="C456" t="inlineStr">
        <is>
          <t>Supervisório mostra leitura congelada do sensor de nível do tanque V-12.</t>
        </is>
      </c>
      <c r="D456" t="inlineStr">
        <is>
          <t>ETE Jardim Bela Vista</t>
        </is>
      </c>
      <c r="E456" t="inlineStr">
        <is>
          <t>Crítica</t>
        </is>
      </c>
      <c r="F456" t="inlineStr">
        <is>
          <t>Thiago Bastos</t>
        </is>
      </c>
      <c r="G456" t="inlineStr">
        <is>
          <t>Fechada</t>
        </is>
      </c>
      <c r="H456" s="5" t="n">
        <v>45797.81597222222</v>
      </c>
    </row>
    <row r="457">
      <c r="A457" t="inlineStr">
        <is>
          <t>OS-1955</t>
        </is>
      </c>
      <c r="B457" t="inlineStr">
        <is>
          <t>Falha de comunicação no CLP E-26</t>
        </is>
      </c>
      <c r="C457" t="inlineStr">
        <is>
          <t>CLP E-26 perde comunicação com o supervisório em intervalos irregulares.</t>
        </is>
      </c>
      <c r="D457" t="inlineStr">
        <is>
          <t>ETE Vale do Sol</t>
        </is>
      </c>
      <c r="E457" t="inlineStr">
        <is>
          <t>Crítica</t>
        </is>
      </c>
      <c r="F457" t="inlineStr">
        <is>
          <t>Marcos Vinícius Rocha</t>
        </is>
      </c>
      <c r="G457" t="inlineStr">
        <is>
          <t>Fechada</t>
        </is>
      </c>
      <c r="H457" s="5" t="n">
        <v>45798.13958333333</v>
      </c>
    </row>
    <row r="458">
      <c r="A458" t="inlineStr">
        <is>
          <t>OS-1956</t>
        </is>
      </c>
      <c r="B458" t="inlineStr">
        <is>
          <t>Medidor de vazão C-10 com leitura instável</t>
        </is>
      </c>
      <c r="C458" t="inlineStr">
        <is>
          <t>Medidor de vazão C-10 oscila sem variação de processo.</t>
        </is>
      </c>
      <c r="D458" t="inlineStr">
        <is>
          <t>Base Operacional Sul</t>
        </is>
      </c>
      <c r="E458" t="inlineStr">
        <is>
          <t>Média</t>
        </is>
      </c>
      <c r="F458" t="inlineStr">
        <is>
          <t>Alex Nogueira</t>
        </is>
      </c>
      <c r="G458" t="inlineStr">
        <is>
          <t>Fechada</t>
        </is>
      </c>
      <c r="H458" s="5" t="n">
        <v>45798.41041666667</v>
      </c>
    </row>
    <row r="459">
      <c r="A459" t="inlineStr">
        <is>
          <t>OS-1957</t>
        </is>
      </c>
      <c r="B459" t="inlineStr">
        <is>
          <t>Válvula G-29 não fecha por completo</t>
        </is>
      </c>
      <c r="C459" t="inlineStr">
        <is>
          <t>Válvula G-29 com passagem residual mesmo totalmente fechada. Possível desgaste da sede.</t>
        </is>
      </c>
      <c r="D459" t="inlineStr">
        <is>
          <t>Base Operacional Norte</t>
        </is>
      </c>
      <c r="E459" t="inlineStr">
        <is>
          <t>Baixa</t>
        </is>
      </c>
      <c r="F459" t="inlineStr">
        <is>
          <t>Heloísa Barreto</t>
        </is>
      </c>
      <c r="G459" t="inlineStr">
        <is>
          <t>Fechada</t>
        </is>
      </c>
      <c r="H459" s="5" t="n">
        <v>45798.73472222222</v>
      </c>
    </row>
    <row r="460">
      <c r="A460" t="inlineStr">
        <is>
          <t>OS-1958</t>
        </is>
      </c>
      <c r="B460" t="inlineStr">
        <is>
          <t>Troca de filtro do compressor H-26</t>
        </is>
      </c>
      <c r="C460" t="inlineStr">
        <is>
          <t>Filtro de ar do compressor H-26 saturado. Substituição preventiva.</t>
        </is>
      </c>
      <c r="D460" t="inlineStr">
        <is>
          <t>ETE Jardim Bela Vista</t>
        </is>
      </c>
      <c r="E460" t="inlineStr">
        <is>
          <t>Alta</t>
        </is>
      </c>
      <c r="F460" t="inlineStr">
        <is>
          <t>Jonas Teles</t>
        </is>
      </c>
      <c r="G460" t="inlineStr">
        <is>
          <t>Fechada</t>
        </is>
      </c>
      <c r="H460" s="5" t="n">
        <v>45799.05347222222</v>
      </c>
    </row>
    <row r="461">
      <c r="A461" t="inlineStr">
        <is>
          <t>OS-1959</t>
        </is>
      </c>
      <c r="B461" t="inlineStr">
        <is>
          <t>Correia do ventilador E-15 desgastada</t>
        </is>
      </c>
      <c r="C461" t="inlineStr">
        <is>
          <t>Correia do ventilador E-15 com trincas visíveis e folga excessiva.</t>
        </is>
      </c>
      <c r="D461" t="inlineStr">
        <is>
          <t>Subestação Norte</t>
        </is>
      </c>
      <c r="E461" t="inlineStr">
        <is>
          <t>Alta</t>
        </is>
      </c>
      <c r="F461" t="inlineStr">
        <is>
          <t>Alex Nogueira</t>
        </is>
      </c>
      <c r="G461" t="inlineStr">
        <is>
          <t>Fechada</t>
        </is>
      </c>
      <c r="H461" s="5" t="n">
        <v>45799.36458333334</v>
      </c>
    </row>
    <row r="462">
      <c r="A462" t="inlineStr">
        <is>
          <t>OS-1960</t>
        </is>
      </c>
      <c r="B462" t="inlineStr">
        <is>
          <t>Calha entupida no prédio T-17</t>
        </is>
      </c>
      <c r="C462" t="inlineStr">
        <is>
          <t>Calha do prédio T-17 transbordando em dia de chuva.</t>
        </is>
      </c>
      <c r="D462" t="inlineStr">
        <is>
          <t>Pátio de Veículos</t>
        </is>
      </c>
      <c r="E462" t="inlineStr">
        <is>
          <t>Baixa</t>
        </is>
      </c>
      <c r="F462" t="inlineStr">
        <is>
          <t>Fernanda Quintela</t>
        </is>
      </c>
      <c r="G462" t="inlineStr">
        <is>
          <t>Fechada</t>
        </is>
      </c>
      <c r="H462" s="5" t="n">
        <v>45799.65277777778</v>
      </c>
    </row>
    <row r="463">
      <c r="A463" t="inlineStr">
        <is>
          <t>OS-1961</t>
        </is>
      </c>
      <c r="B463" t="inlineStr">
        <is>
          <t>Bomba dosadora R-13 sem recalque</t>
        </is>
      </c>
      <c r="C463" t="inlineStr">
        <is>
          <t>Bomba dosadora R-13 liga mas não dosa. Mangueira sem obstrução aparente.</t>
        </is>
      </c>
      <c r="D463" t="inlineStr">
        <is>
          <t>ETA Serra Azul</t>
        </is>
      </c>
      <c r="E463" t="inlineStr">
        <is>
          <t>Baixa</t>
        </is>
      </c>
      <c r="F463" t="inlineStr">
        <is>
          <t>Aline Rocha</t>
        </is>
      </c>
      <c r="G463" t="inlineStr">
        <is>
          <t>Fechada</t>
        </is>
      </c>
      <c r="H463" s="5" t="n">
        <v>45799.9625</v>
      </c>
    </row>
    <row r="464">
      <c r="A464" t="inlineStr">
        <is>
          <t>OS-1962</t>
        </is>
      </c>
      <c r="B464" t="inlineStr">
        <is>
          <t>Calha entupida no prédio R-17</t>
        </is>
      </c>
      <c r="C464" t="inlineStr">
        <is>
          <t>Calha do prédio R-17 transbordando em dia de chuva.</t>
        </is>
      </c>
      <c r="D464" t="inlineStr">
        <is>
          <t>ETA Ribeirão Fundo</t>
        </is>
      </c>
      <c r="E464" t="inlineStr">
        <is>
          <t>Média</t>
        </is>
      </c>
      <c r="F464" t="inlineStr">
        <is>
          <t>Vagner Pacheco</t>
        </is>
      </c>
      <c r="G464" t="inlineStr">
        <is>
          <t>Fechada</t>
        </is>
      </c>
      <c r="H464" s="5" t="n">
        <v>45800.24097222222</v>
      </c>
    </row>
    <row r="465">
      <c r="A465" t="inlineStr">
        <is>
          <t>OS-1963</t>
        </is>
      </c>
      <c r="B465" t="inlineStr">
        <is>
          <t>Lâmpada queimada na área T-22</t>
        </is>
      </c>
      <c r="C465" t="inlineStr">
        <is>
          <t>Iluminação da área T-22 sem funcionar. Reposição de lâmpada e conferência do reator.</t>
        </is>
      </c>
      <c r="D465" t="inlineStr">
        <is>
          <t>Subestação Norte</t>
        </is>
      </c>
      <c r="E465" t="inlineStr">
        <is>
          <t>Média</t>
        </is>
      </c>
      <c r="F465" t="inlineStr">
        <is>
          <t>Yara Medeiros</t>
        </is>
      </c>
      <c r="G465" t="inlineStr">
        <is>
          <t>Fechada</t>
        </is>
      </c>
      <c r="H465" s="5" t="n">
        <v>45800.56388888889</v>
      </c>
    </row>
    <row r="466">
      <c r="A466" t="inlineStr">
        <is>
          <t>OS-1964</t>
        </is>
      </c>
      <c r="B466" t="inlineStr">
        <is>
          <t>Disjuntor desarmando no painel E-23</t>
        </is>
      </c>
      <c r="C466" t="inlineStr">
        <is>
          <t>Disjuntor do painel E-23 desarmou três vezes no turno. Carga dentro do nominal.</t>
        </is>
      </c>
      <c r="D466" t="inlineStr">
        <is>
          <t>ETE Vale do Sol</t>
        </is>
      </c>
      <c r="E466" t="inlineStr">
        <is>
          <t>Baixa</t>
        </is>
      </c>
      <c r="F466" t="inlineStr">
        <is>
          <t>Jonas Teles</t>
        </is>
      </c>
      <c r="G466" t="inlineStr">
        <is>
          <t>Fechada</t>
        </is>
      </c>
      <c r="H466" s="5" t="n">
        <v>45800.85347222222</v>
      </c>
    </row>
    <row r="467">
      <c r="A467" t="inlineStr">
        <is>
          <t>OS-1965</t>
        </is>
      </c>
      <c r="B467" t="inlineStr">
        <is>
          <t>Correia do ventilador C-35 desgastada</t>
        </is>
      </c>
      <c r="C467" t="inlineStr">
        <is>
          <t>Correia do ventilador C-35 com trincas visíveis e folga excessiva.</t>
        </is>
      </c>
      <c r="D467" t="inlineStr">
        <is>
          <t>Torre de Telecomunicação Morro Alto</t>
        </is>
      </c>
      <c r="E467" t="inlineStr">
        <is>
          <t>Crítica</t>
        </is>
      </c>
      <c r="F467" t="inlineStr">
        <is>
          <t>Cíntia Freitas</t>
        </is>
      </c>
      <c r="G467" t="inlineStr">
        <is>
          <t>Fechada</t>
        </is>
      </c>
      <c r="H467" s="5" t="n">
        <v>45801.16319444445</v>
      </c>
    </row>
    <row r="468">
      <c r="A468" t="inlineStr">
        <is>
          <t>OS-1966</t>
        </is>
      </c>
      <c r="B468" t="inlineStr">
        <is>
          <t>Válvula V-32 não fecha por completo</t>
        </is>
      </c>
      <c r="C468" t="inlineStr">
        <is>
          <t>Válvula V-32 com passagem residual mesmo totalmente fechada. Possível desgaste da sede.</t>
        </is>
      </c>
      <c r="D468" t="inlineStr">
        <is>
          <t>Estação Elevatória Porto</t>
        </is>
      </c>
      <c r="E468" t="inlineStr">
        <is>
          <t>Média</t>
        </is>
      </c>
      <c r="F468" t="inlineStr">
        <is>
          <t>Cíntia Freitas</t>
        </is>
      </c>
      <c r="G468" t="inlineStr">
        <is>
          <t>Fechada</t>
        </is>
      </c>
      <c r="H468" s="5" t="n">
        <v>45801.47291666667</v>
      </c>
    </row>
    <row r="469">
      <c r="A469" t="inlineStr">
        <is>
          <t>OS-1967</t>
        </is>
      </c>
      <c r="B469" t="inlineStr">
        <is>
          <t>Lâmpada queimada na área P-15</t>
        </is>
      </c>
      <c r="C469" t="inlineStr">
        <is>
          <t>Iluminação da área P-15 sem funcionar. Reposição de lâmpada e conferência do reator.</t>
        </is>
      </c>
      <c r="D469" t="inlineStr">
        <is>
          <t>Adutora Tronco Sul</t>
        </is>
      </c>
      <c r="E469" t="inlineStr">
        <is>
          <t>Baixa</t>
        </is>
      </c>
      <c r="F469" t="inlineStr">
        <is>
          <t>Natália Cordeiro</t>
        </is>
      </c>
      <c r="G469" t="inlineStr">
        <is>
          <t>Fechada</t>
        </is>
      </c>
      <c r="H469" s="5" t="n">
        <v>45801.79375</v>
      </c>
    </row>
    <row r="470">
      <c r="A470" t="inlineStr">
        <is>
          <t>OS-1968</t>
        </is>
      </c>
      <c r="B470" t="inlineStr">
        <is>
          <t>Lâmpada queimada na área G-03</t>
        </is>
      </c>
      <c r="C470" t="inlineStr">
        <is>
          <t>Iluminação da área G-03 sem funcionar. Reposição de lâmpada e conferência do reator.</t>
        </is>
      </c>
      <c r="D470" t="inlineStr">
        <is>
          <t>ETA Central</t>
        </is>
      </c>
      <c r="E470" t="inlineStr">
        <is>
          <t>Baixa</t>
        </is>
      </c>
      <c r="F470" t="inlineStr">
        <is>
          <t>Danilo Peixoto</t>
        </is>
      </c>
      <c r="G470" t="inlineStr">
        <is>
          <t>Fechada</t>
        </is>
      </c>
      <c r="H470" s="5" t="n">
        <v>45802.10347222222</v>
      </c>
    </row>
    <row r="471">
      <c r="A471" t="inlineStr">
        <is>
          <t>OS-1969</t>
        </is>
      </c>
      <c r="B471" t="inlineStr">
        <is>
          <t>Falha de comunicação no CLP M-10</t>
        </is>
      </c>
      <c r="C471" t="inlineStr">
        <is>
          <t>CLP M-10 perde comunicação com o supervisório em intervalos irregulares.</t>
        </is>
      </c>
      <c r="D471" t="inlineStr">
        <is>
          <t>Reservatório Alto da Colina</t>
        </is>
      </c>
      <c r="E471" t="inlineStr">
        <is>
          <t>Alta</t>
        </is>
      </c>
      <c r="F471" t="inlineStr">
        <is>
          <t>Érica Andrade</t>
        </is>
      </c>
      <c r="G471" t="inlineStr">
        <is>
          <t>Fechada</t>
        </is>
      </c>
      <c r="H471" s="5" t="n">
        <v>45802.40763888889</v>
      </c>
    </row>
    <row r="472">
      <c r="A472" t="inlineStr">
        <is>
          <t>OS-1970</t>
        </is>
      </c>
      <c r="B472" t="inlineStr">
        <is>
          <t>Falha de comunicação no CLP G-09</t>
        </is>
      </c>
      <c r="C472" t="inlineStr">
        <is>
          <t>CLP G-09 perde comunicação com o supervisório em intervalos irregulares.</t>
        </is>
      </c>
      <c r="D472" t="inlineStr">
        <is>
          <t>Reservatório Industrial</t>
        </is>
      </c>
      <c r="E472" t="inlineStr">
        <is>
          <t>Alta</t>
        </is>
      </c>
      <c r="F472" t="inlineStr">
        <is>
          <t>Murilo Paiva</t>
        </is>
      </c>
      <c r="G472" t="inlineStr">
        <is>
          <t>Fechada</t>
        </is>
      </c>
      <c r="H472" s="5" t="n">
        <v>45802.6875</v>
      </c>
    </row>
    <row r="473">
      <c r="A473" t="inlineStr">
        <is>
          <t>OS-1971</t>
        </is>
      </c>
      <c r="B473" t="inlineStr">
        <is>
          <t>Ar-condicionado da sala G-39 sem refrigerar</t>
        </is>
      </c>
      <c r="C473" t="inlineStr">
        <is>
          <t>Ar-condicionado da sala de painéis G-39 ligado sem refrigerar.</t>
        </is>
      </c>
      <c r="D473" t="inlineStr">
        <is>
          <t>Estação de Bombeamento Três Pontes</t>
        </is>
      </c>
      <c r="E473" t="inlineStr">
        <is>
          <t>Média</t>
        </is>
      </c>
      <c r="F473" t="inlineStr">
        <is>
          <t>Lívia Montenegro</t>
        </is>
      </c>
      <c r="G473" t="inlineStr">
        <is>
          <t>Fechada</t>
        </is>
      </c>
      <c r="H473" s="5" t="n">
        <v>45803.02638888889</v>
      </c>
    </row>
    <row r="474">
      <c r="A474" t="inlineStr">
        <is>
          <t>OS-1972</t>
        </is>
      </c>
      <c r="B474" t="inlineStr">
        <is>
          <t>Medidor de vazão R-12 com leitura instável</t>
        </is>
      </c>
      <c r="C474" t="inlineStr">
        <is>
          <t>Medidor de vazão R-12 oscila sem variação de processo.</t>
        </is>
      </c>
      <c r="D474" t="inlineStr">
        <is>
          <t>Reservatório Alto da Colina</t>
        </is>
      </c>
      <c r="E474" t="inlineStr">
        <is>
          <t>Baixa</t>
        </is>
      </c>
      <c r="F474" t="inlineStr">
        <is>
          <t>Eduardo Salles</t>
        </is>
      </c>
      <c r="G474" t="inlineStr">
        <is>
          <t>Fechada</t>
        </is>
      </c>
      <c r="H474" s="5" t="n">
        <v>45803.31180555555</v>
      </c>
    </row>
    <row r="475">
      <c r="A475" t="inlineStr">
        <is>
          <t>OS-1973</t>
        </is>
      </c>
      <c r="B475" t="inlineStr">
        <is>
          <t>Aquecimento no mancal do motor R-29</t>
        </is>
      </c>
      <c r="C475" t="inlineStr">
        <is>
          <t>Mancal do motor R-29 acima da temperatura usual na medição com termômetro infravermelho.</t>
        </is>
      </c>
      <c r="D475" t="inlineStr">
        <is>
          <t>Captação Rio Verde</t>
        </is>
      </c>
      <c r="E475" t="inlineStr">
        <is>
          <t>Alta</t>
        </is>
      </c>
      <c r="F475" t="inlineStr">
        <is>
          <t>Juliana Aguiar</t>
        </is>
      </c>
      <c r="G475" t="inlineStr">
        <is>
          <t>Fechada</t>
        </is>
      </c>
      <c r="H475" s="5" t="n">
        <v>45803.63819444444</v>
      </c>
    </row>
    <row r="476">
      <c r="A476" t="inlineStr">
        <is>
          <t>OS-1974</t>
        </is>
      </c>
      <c r="B476" t="inlineStr">
        <is>
          <t>Falha de comunicação no CLP V-36</t>
        </is>
      </c>
      <c r="C476" t="inlineStr">
        <is>
          <t>CLP V-36 perde comunicação com o supervisório em intervalos irregulares.</t>
        </is>
      </c>
      <c r="D476" t="inlineStr">
        <is>
          <t>Oficina Elétrica Central</t>
        </is>
      </c>
      <c r="E476" t="inlineStr">
        <is>
          <t>Alta</t>
        </is>
      </c>
      <c r="F476" t="inlineStr">
        <is>
          <t>Flávio Gusmão</t>
        </is>
      </c>
      <c r="G476" t="inlineStr">
        <is>
          <t>Fechada</t>
        </is>
      </c>
      <c r="H476" s="5" t="n">
        <v>45803.91527777778</v>
      </c>
    </row>
    <row r="477">
      <c r="A477" t="inlineStr">
        <is>
          <t>OS-1975</t>
        </is>
      </c>
      <c r="B477" t="inlineStr">
        <is>
          <t>Ar-condicionado da sala F-03 sem refrigerar</t>
        </is>
      </c>
      <c r="C477" t="inlineStr">
        <is>
          <t>Ar-condicionado da sala de painéis F-03 ligado sem refrigerar.</t>
        </is>
      </c>
      <c r="D477" t="inlineStr">
        <is>
          <t>Usina Fotovoltaica Planalto</t>
        </is>
      </c>
      <c r="E477" t="inlineStr">
        <is>
          <t>Alta</t>
        </is>
      </c>
      <c r="F477" t="inlineStr">
        <is>
          <t>Beatriz Farias</t>
        </is>
      </c>
      <c r="G477" t="inlineStr">
        <is>
          <t>Fechada</t>
        </is>
      </c>
      <c r="H477" s="5" t="n">
        <v>45804.24375</v>
      </c>
    </row>
    <row r="478">
      <c r="A478" t="inlineStr">
        <is>
          <t>OS-1976</t>
        </is>
      </c>
      <c r="B478" t="inlineStr">
        <is>
          <t>Ruído anormal no motor H-12</t>
        </is>
      </c>
      <c r="C478" t="inlineStr">
        <is>
          <t>Ruído intermitente no motor H-12 durante a partida. Temperatura normal ao toque.</t>
        </is>
      </c>
      <c r="D478" t="inlineStr">
        <is>
          <t>Subestação Leste</t>
        </is>
      </c>
      <c r="E478" t="inlineStr">
        <is>
          <t>Média</t>
        </is>
      </c>
      <c r="F478" t="inlineStr">
        <is>
          <t>Priscila Guedes</t>
        </is>
      </c>
      <c r="G478" t="inlineStr">
        <is>
          <t>Fechada</t>
        </is>
      </c>
      <c r="H478" s="5" t="n">
        <v>45804.54097222222</v>
      </c>
    </row>
    <row r="479">
      <c r="A479" t="inlineStr">
        <is>
          <t>OS-1977</t>
        </is>
      </c>
      <c r="B479" t="inlineStr">
        <is>
          <t>Pintura descascada na estrutura G-16</t>
        </is>
      </c>
      <c r="C479" t="inlineStr">
        <is>
          <t>Estrutura metálica G-16 com pontos de corrosão sob a pintura.</t>
        </is>
      </c>
      <c r="D479" t="inlineStr">
        <is>
          <t>Estação de Bombeamento Vila Nova</t>
        </is>
      </c>
      <c r="E479" t="inlineStr">
        <is>
          <t>Baixa</t>
        </is>
      </c>
      <c r="F479" t="inlineStr">
        <is>
          <t>Simone Carvalho</t>
        </is>
      </c>
      <c r="G479" t="inlineStr">
        <is>
          <t>Fechada</t>
        </is>
      </c>
      <c r="H479" s="5" t="n">
        <v>45804.82777777778</v>
      </c>
    </row>
    <row r="480">
      <c r="A480" t="inlineStr">
        <is>
          <t>OS-1978</t>
        </is>
      </c>
      <c r="B480" t="inlineStr">
        <is>
          <t>Vazamento de óleo no redutor E-20</t>
        </is>
      </c>
      <c r="C480" t="inlineStr">
        <is>
          <t>Gotejamento de óleo no redutor E-20. Nível ainda dentro da faixa.</t>
        </is>
      </c>
      <c r="D480" t="inlineStr">
        <is>
          <t>Booster Parque das Águas</t>
        </is>
      </c>
      <c r="E480" t="inlineStr">
        <is>
          <t>Alta</t>
        </is>
      </c>
      <c r="F480" t="inlineStr">
        <is>
          <t>Lívia Montenegro</t>
        </is>
      </c>
      <c r="G480" t="inlineStr">
        <is>
          <t>Fechada</t>
        </is>
      </c>
      <c r="H480" s="5" t="n">
        <v>45805.15138888889</v>
      </c>
    </row>
    <row r="481">
      <c r="A481" t="inlineStr">
        <is>
          <t>OS-1979</t>
        </is>
      </c>
      <c r="B481" t="inlineStr">
        <is>
          <t>Bomba dosadora D-25 sem recalque</t>
        </is>
      </c>
      <c r="C481" t="inlineStr">
        <is>
          <t>Bomba dosadora D-25 liga mas não dosa. Mangueira sem obstrução aparente.</t>
        </is>
      </c>
      <c r="D481" t="inlineStr">
        <is>
          <t>Almoxarifado Central</t>
        </is>
      </c>
      <c r="E481" t="inlineStr">
        <is>
          <t>Crítica</t>
        </is>
      </c>
      <c r="F481" t="inlineStr">
        <is>
          <t>Otávio Lacerda</t>
        </is>
      </c>
      <c r="G481" t="inlineStr">
        <is>
          <t>Fechada</t>
        </is>
      </c>
      <c r="H481" s="5" t="n">
        <v>45805.46180555555</v>
      </c>
    </row>
    <row r="482">
      <c r="A482" t="inlineStr">
        <is>
          <t>OS-1980</t>
        </is>
      </c>
      <c r="B482" t="inlineStr">
        <is>
          <t>Disjuntor desarmando no painel A-35</t>
        </is>
      </c>
      <c r="C482" t="inlineStr">
        <is>
          <t>Disjuntor do painel A-35 desarmou três vezes no turno. Carga dentro do nominal.</t>
        </is>
      </c>
      <c r="D482" t="inlineStr">
        <is>
          <t>Sede Administrativa</t>
        </is>
      </c>
      <c r="E482" t="inlineStr">
        <is>
          <t>Média</t>
        </is>
      </c>
      <c r="F482" t="inlineStr">
        <is>
          <t>Zeca Moraes</t>
        </is>
      </c>
      <c r="G482" t="inlineStr">
        <is>
          <t>Fechada</t>
        </is>
      </c>
      <c r="H482" s="5" t="n">
        <v>45805.74791666667</v>
      </c>
    </row>
    <row r="483">
      <c r="A483" t="inlineStr">
        <is>
          <t>OS-1981</t>
        </is>
      </c>
      <c r="B483" t="inlineStr">
        <is>
          <t>Correia do ventilador E-15 desgastada</t>
        </is>
      </c>
      <c r="C483" t="inlineStr">
        <is>
          <t>Correia do ventilador E-15 com trincas visíveis e folga excessiva.</t>
        </is>
      </c>
      <c r="D483" t="inlineStr">
        <is>
          <t>Base Operacional Litoral</t>
        </is>
      </c>
      <c r="E483" t="inlineStr">
        <is>
          <t>Média</t>
        </is>
      </c>
      <c r="F483" t="inlineStr">
        <is>
          <t>Alex Nogueira</t>
        </is>
      </c>
      <c r="G483" t="inlineStr">
        <is>
          <t>Fechada</t>
        </is>
      </c>
      <c r="H483" s="5" t="n">
        <v>45806.07291666666</v>
      </c>
    </row>
    <row r="484">
      <c r="A484" t="inlineStr">
        <is>
          <t>OS-1982</t>
        </is>
      </c>
      <c r="B484" t="inlineStr">
        <is>
          <t>Ruído anormal no motor T-27</t>
        </is>
      </c>
      <c r="C484" t="inlineStr">
        <is>
          <t>Ruído intermitente no motor T-27 durante a partida. Temperatura normal ao toque.</t>
        </is>
      </c>
      <c r="D484" t="inlineStr">
        <is>
          <t>Reservatório Santa Luzia</t>
        </is>
      </c>
      <c r="E484" t="inlineStr">
        <is>
          <t>Baixa</t>
        </is>
      </c>
      <c r="F484" t="inlineStr">
        <is>
          <t>Heloísa Barreto</t>
        </is>
      </c>
      <c r="G484" t="inlineStr">
        <is>
          <t>Fechada</t>
        </is>
      </c>
      <c r="H484" s="5" t="n">
        <v>45806.38263888889</v>
      </c>
    </row>
    <row r="485">
      <c r="A485" t="inlineStr">
        <is>
          <t>OS-1983</t>
        </is>
      </c>
      <c r="B485" t="inlineStr">
        <is>
          <t>Troca de filtro do compressor C-01</t>
        </is>
      </c>
      <c r="C485" t="inlineStr">
        <is>
          <t>Filtro de ar do compressor C-01 saturado. Substituição preventiva.</t>
        </is>
      </c>
      <c r="D485" t="inlineStr">
        <is>
          <t>Base Operacional Sul</t>
        </is>
      </c>
      <c r="E485" t="inlineStr">
        <is>
          <t>Média</t>
        </is>
      </c>
      <c r="F485" t="inlineStr">
        <is>
          <t>Glória Sampaio</t>
        </is>
      </c>
      <c r="G485" t="inlineStr">
        <is>
          <t>Fechada</t>
        </is>
      </c>
      <c r="H485" s="5" t="n">
        <v>45806.66111111111</v>
      </c>
    </row>
    <row r="486">
      <c r="A486" t="inlineStr">
        <is>
          <t>OS-1984</t>
        </is>
      </c>
      <c r="B486" t="inlineStr">
        <is>
          <t>Ar-condicionado da sala D-37 sem refrigerar</t>
        </is>
      </c>
      <c r="C486" t="inlineStr">
        <is>
          <t>Ar-condicionado da sala de painéis D-37 ligado sem refrigerar.</t>
        </is>
      </c>
      <c r="D486" t="inlineStr">
        <is>
          <t>Usina Fotovoltaica Planalto</t>
        </is>
      </c>
      <c r="E486" t="inlineStr">
        <is>
          <t>Baixa</t>
        </is>
      </c>
      <c r="F486" t="inlineStr">
        <is>
          <t>Zeca Moraes</t>
        </is>
      </c>
      <c r="G486" t="inlineStr">
        <is>
          <t>Fechada</t>
        </is>
      </c>
      <c r="H486" s="5" t="n">
        <v>45806.96875</v>
      </c>
    </row>
    <row r="487">
      <c r="A487" t="inlineStr">
        <is>
          <t>OS-1985</t>
        </is>
      </c>
      <c r="B487" t="inlineStr">
        <is>
          <t>Falha de comunicação no CLP V-24</t>
        </is>
      </c>
      <c r="C487" t="inlineStr">
        <is>
          <t>CLP V-24 perde comunicação com o supervisório em intervalos irregulares.</t>
        </is>
      </c>
      <c r="D487" t="inlineStr">
        <is>
          <t>Estação de Bombeamento Vila Nova</t>
        </is>
      </c>
      <c r="E487" t="inlineStr">
        <is>
          <t>Baixa</t>
        </is>
      </c>
      <c r="F487" t="inlineStr">
        <is>
          <t>Rafael Torres</t>
        </is>
      </c>
      <c r="G487" t="inlineStr">
        <is>
          <t>Fechada</t>
        </is>
      </c>
      <c r="H487" s="5" t="n">
        <v>45807.27222222222</v>
      </c>
    </row>
    <row r="488">
      <c r="A488" t="inlineStr">
        <is>
          <t>OS-1986</t>
        </is>
      </c>
      <c r="B488" t="inlineStr">
        <is>
          <t>Ruído anormal no motor V-22</t>
        </is>
      </c>
      <c r="C488" t="inlineStr">
        <is>
          <t>Ruído intermitente no motor V-22 durante a partida. Temperatura normal ao toque.</t>
        </is>
      </c>
      <c r="D488" t="inlineStr">
        <is>
          <t>Reservatório Alto da Colina</t>
        </is>
      </c>
      <c r="E488" t="inlineStr">
        <is>
          <t>Alta</t>
        </is>
      </c>
      <c r="F488" t="inlineStr">
        <is>
          <t>Eduardo Salles</t>
        </is>
      </c>
      <c r="G488" t="inlineStr">
        <is>
          <t>Fechada</t>
        </is>
      </c>
      <c r="H488" s="5" t="n">
        <v>45807.57916666667</v>
      </c>
    </row>
    <row r="489">
      <c r="A489" t="inlineStr">
        <is>
          <t>OS-1987</t>
        </is>
      </c>
      <c r="B489" t="inlineStr">
        <is>
          <t>Bomba dosadora F-05 sem recalque</t>
        </is>
      </c>
      <c r="C489" t="inlineStr">
        <is>
          <t>Bomba dosadora F-05 liga mas não dosa. Mangueira sem obstrução aparente.</t>
        </is>
      </c>
      <c r="D489" t="inlineStr">
        <is>
          <t>Subestação Centro</t>
        </is>
      </c>
      <c r="E489" t="inlineStr">
        <is>
          <t>Baixa</t>
        </is>
      </c>
      <c r="F489" t="inlineStr">
        <is>
          <t>Heloísa Barreto</t>
        </is>
      </c>
      <c r="G489" t="inlineStr">
        <is>
          <t>Fechada</t>
        </is>
      </c>
      <c r="H489" s="5" t="n">
        <v>45807.90555555555</v>
      </c>
    </row>
    <row r="490">
      <c r="A490" t="inlineStr">
        <is>
          <t>OS-1988</t>
        </is>
      </c>
      <c r="B490" t="inlineStr">
        <is>
          <t>Aquecimento no mancal do motor E-10</t>
        </is>
      </c>
      <c r="C490" t="inlineStr">
        <is>
          <t>Mancal do motor E-10 acima da temperatura usual na medição com termômetro infravermelho.</t>
        </is>
      </c>
      <c r="D490" t="inlineStr">
        <is>
          <t>Pátio de Veículos</t>
        </is>
      </c>
      <c r="E490" t="inlineStr">
        <is>
          <t>Alta</t>
        </is>
      </c>
      <c r="F490" t="inlineStr">
        <is>
          <t>Ingrid Queiroz</t>
        </is>
      </c>
      <c r="G490" t="inlineStr">
        <is>
          <t>Fechada</t>
        </is>
      </c>
      <c r="H490" s="5" t="n">
        <v>45808.20486111111</v>
      </c>
    </row>
    <row r="491">
      <c r="A491" t="inlineStr">
        <is>
          <t>OS-1989</t>
        </is>
      </c>
      <c r="B491" t="inlineStr">
        <is>
          <t>Exaustor F-39 parado</t>
        </is>
      </c>
      <c r="C491" t="inlineStr">
        <is>
          <t>Exaustor F-39 não parte. Fusível íntegro.</t>
        </is>
      </c>
      <c r="D491" t="inlineStr">
        <is>
          <t>Estação de Bombeamento Três Pontes</t>
        </is>
      </c>
      <c r="E491" t="inlineStr">
        <is>
          <t>Alta</t>
        </is>
      </c>
      <c r="F491" t="inlineStr">
        <is>
          <t>Fernanda Quintela</t>
        </is>
      </c>
      <c r="G491" t="inlineStr">
        <is>
          <t>Fechada</t>
        </is>
      </c>
      <c r="H491" s="5" t="n">
        <v>45808.51944444444</v>
      </c>
    </row>
    <row r="492">
      <c r="A492" t="inlineStr">
        <is>
          <t>OS-1990</t>
        </is>
      </c>
      <c r="B492" t="inlineStr">
        <is>
          <t>Disjuntor desarmando no painel C-33</t>
        </is>
      </c>
      <c r="C492" t="inlineStr">
        <is>
          <t>Disjuntor do painel C-33 desarmou três vezes no turno. Carga dentro do nominal.</t>
        </is>
      </c>
      <c r="D492" t="inlineStr">
        <is>
          <t>Pátio de Veículos</t>
        </is>
      </c>
      <c r="E492" t="inlineStr">
        <is>
          <t>Alta</t>
        </is>
      </c>
      <c r="F492" t="inlineStr">
        <is>
          <t>Simone Carvalho</t>
        </is>
      </c>
      <c r="G492" t="inlineStr">
        <is>
          <t>Fechada</t>
        </is>
      </c>
      <c r="H492" s="5" t="n">
        <v>45808.80416666667</v>
      </c>
    </row>
    <row r="493">
      <c r="A493" t="inlineStr">
        <is>
          <t>OS-1991</t>
        </is>
      </c>
      <c r="B493" t="inlineStr">
        <is>
          <t>Tomada sem energia na sala D-30</t>
        </is>
      </c>
      <c r="C493" t="inlineStr">
        <is>
          <t>Tomada de serviço da sala D-30 sem tensão.</t>
        </is>
      </c>
      <c r="D493" t="inlineStr">
        <is>
          <t>Estação de Bombeamento Vila Nova</t>
        </is>
      </c>
      <c r="E493" t="inlineStr">
        <is>
          <t>Média</t>
        </is>
      </c>
      <c r="F493" t="inlineStr">
        <is>
          <t>Priscila Guedes</t>
        </is>
      </c>
      <c r="G493" t="inlineStr">
        <is>
          <t>Fechada</t>
        </is>
      </c>
      <c r="H493" s="5" t="n">
        <v>45809.12291666667</v>
      </c>
    </row>
    <row r="494">
      <c r="A494" t="inlineStr">
        <is>
          <t>OS-1992</t>
        </is>
      </c>
      <c r="B494" t="inlineStr">
        <is>
          <t>Troca de filtro do compressor C-13</t>
        </is>
      </c>
      <c r="C494" t="inlineStr">
        <is>
          <t>Filtro de ar do compressor C-13 saturado. Substituição preventiva.</t>
        </is>
      </c>
      <c r="D494" t="inlineStr">
        <is>
          <t>Estação Elevatória Porto</t>
        </is>
      </c>
      <c r="E494" t="inlineStr">
        <is>
          <t>Média</t>
        </is>
      </c>
      <c r="F494" t="inlineStr">
        <is>
          <t>Zeca Moraes</t>
        </is>
      </c>
      <c r="G494" t="inlineStr">
        <is>
          <t>Fechada</t>
        </is>
      </c>
      <c r="H494" s="5" t="n">
        <v>45809.41527777778</v>
      </c>
    </row>
    <row r="495">
      <c r="A495" t="inlineStr">
        <is>
          <t>OS-1993</t>
        </is>
      </c>
      <c r="B495" t="inlineStr">
        <is>
          <t>Calha entupida no prédio H-29</t>
        </is>
      </c>
      <c r="C495" t="inlineStr">
        <is>
          <t>Calha do prédio H-29 transbordando em dia de chuva.</t>
        </is>
      </c>
      <c r="D495" t="inlineStr">
        <is>
          <t>Captação Lagoa Seca</t>
        </is>
      </c>
      <c r="E495" t="inlineStr">
        <is>
          <t>Crítica</t>
        </is>
      </c>
      <c r="F495" t="inlineStr">
        <is>
          <t>Jonas Teles</t>
        </is>
      </c>
      <c r="G495" t="inlineStr">
        <is>
          <t>Fechada</t>
        </is>
      </c>
      <c r="H495" s="5" t="n">
        <v>45809.70763888889</v>
      </c>
    </row>
    <row r="496">
      <c r="A496" t="inlineStr">
        <is>
          <t>OS-1994</t>
        </is>
      </c>
      <c r="B496" t="inlineStr">
        <is>
          <t>Sensor de nível sem leitura no tanque D-06</t>
        </is>
      </c>
      <c r="C496" t="inlineStr">
        <is>
          <t>Supervisório mostra leitura congelada do sensor de nível do tanque D-06.</t>
        </is>
      </c>
      <c r="D496" t="inlineStr">
        <is>
          <t>Reservatório Alto da Colina</t>
        </is>
      </c>
      <c r="E496" t="inlineStr">
        <is>
          <t>Média</t>
        </is>
      </c>
      <c r="F496" t="inlineStr">
        <is>
          <t>Otávio Lacerda</t>
        </is>
      </c>
      <c r="G496" t="inlineStr">
        <is>
          <t>Fechada</t>
        </is>
      </c>
      <c r="H496" s="5" t="n">
        <v>45810.01111111111</v>
      </c>
    </row>
    <row r="497">
      <c r="A497" t="inlineStr">
        <is>
          <t>OS-1995</t>
        </is>
      </c>
      <c r="B497" t="inlineStr">
        <is>
          <t>Ar-condicionado da sala V-11 sem refrigerar</t>
        </is>
      </c>
      <c r="C497" t="inlineStr">
        <is>
          <t>Ar-condicionado da sala de painéis V-11 ligado sem refrigerar.</t>
        </is>
      </c>
      <c r="D497" t="inlineStr">
        <is>
          <t>ETE Jardim Bela Vista</t>
        </is>
      </c>
      <c r="E497" t="inlineStr">
        <is>
          <t>Média</t>
        </is>
      </c>
      <c r="F497" t="inlineStr">
        <is>
          <t>Daniela Pires</t>
        </is>
      </c>
      <c r="G497" t="inlineStr">
        <is>
          <t>Fechada</t>
        </is>
      </c>
      <c r="H497" s="5" t="n">
        <v>45810.31805555556</v>
      </c>
    </row>
    <row r="498">
      <c r="A498" t="inlineStr">
        <is>
          <t>OS-1996</t>
        </is>
      </c>
      <c r="B498" t="inlineStr">
        <is>
          <t>Pintura descascada na estrutura A-28</t>
        </is>
      </c>
      <c r="C498" t="inlineStr">
        <is>
          <t>Estrutura metálica A-28 com pontos de corrosão sob a pintura.</t>
        </is>
      </c>
      <c r="D498" t="inlineStr">
        <is>
          <t>Subestação Centro</t>
        </is>
      </c>
      <c r="E498" t="inlineStr">
        <is>
          <t>Média</t>
        </is>
      </c>
      <c r="F498" t="inlineStr">
        <is>
          <t>Marcos Vinícius Rocha</t>
        </is>
      </c>
      <c r="G498" t="inlineStr">
        <is>
          <t>Fechada</t>
        </is>
      </c>
      <c r="H498" s="5" t="n">
        <v>45810.61875</v>
      </c>
    </row>
    <row r="499">
      <c r="A499" t="inlineStr">
        <is>
          <t>OS-1997</t>
        </is>
      </c>
      <c r="B499" t="inlineStr">
        <is>
          <t>Exaustor T-10 parado</t>
        </is>
      </c>
      <c r="C499" t="inlineStr">
        <is>
          <t>Exaustor T-10 não parte. Fusível íntegro.</t>
        </is>
      </c>
      <c r="D499" t="inlineStr">
        <is>
          <t>Estação Elevatória Leste</t>
        </is>
      </c>
      <c r="E499" t="inlineStr">
        <is>
          <t>Média</t>
        </is>
      </c>
      <c r="F499" t="inlineStr">
        <is>
          <t>Ingrid Queiroz</t>
        </is>
      </c>
      <c r="G499" t="inlineStr">
        <is>
          <t>Fechada</t>
        </is>
      </c>
      <c r="H499" s="5" t="n">
        <v>45810.95069444444</v>
      </c>
    </row>
    <row r="500">
      <c r="A500" t="inlineStr">
        <is>
          <t>OS-1998</t>
        </is>
      </c>
      <c r="B500" t="inlineStr">
        <is>
          <t>Ar-condicionado da sala M-10 sem refrigerar</t>
        </is>
      </c>
      <c r="C500" t="inlineStr">
        <is>
          <t>Ar-condicionado da sala de painéis M-10 ligado sem refrigerar.</t>
        </is>
      </c>
      <c r="D500" t="inlineStr">
        <is>
          <t>ETE Rio Claro</t>
        </is>
      </c>
      <c r="E500" t="inlineStr">
        <is>
          <t>Baixa</t>
        </is>
      </c>
      <c r="F500" t="inlineStr">
        <is>
          <t>Fernanda Quintela</t>
        </is>
      </c>
      <c r="G500" t="inlineStr">
        <is>
          <t>Fechada</t>
        </is>
      </c>
      <c r="H500" s="5" t="n">
        <v>45811.24375</v>
      </c>
    </row>
    <row r="501">
      <c r="A501" t="inlineStr">
        <is>
          <t>OS-1999</t>
        </is>
      </c>
      <c r="B501" t="inlineStr">
        <is>
          <t>Válvula E-10 não fecha por completo</t>
        </is>
      </c>
      <c r="C501" t="inlineStr">
        <is>
          <t>Válvula E-10 com passagem residual mesmo totalmente fechada. Possível desgaste da sede.</t>
        </is>
      </c>
      <c r="D501" t="inlineStr">
        <is>
          <t>ETE Vale do Sol</t>
        </is>
      </c>
      <c r="E501" t="inlineStr">
        <is>
          <t>Baixa</t>
        </is>
      </c>
      <c r="F501" t="inlineStr">
        <is>
          <t>Marcos Vinícius Rocha</t>
        </is>
      </c>
      <c r="G501" t="inlineStr">
        <is>
          <t>Fechada</t>
        </is>
      </c>
      <c r="H501" s="5" t="n">
        <v>45811.55486111111</v>
      </c>
    </row>
    <row r="502">
      <c r="A502" t="inlineStr">
        <is>
          <t>OS-2000</t>
        </is>
      </c>
      <c r="B502" t="inlineStr">
        <is>
          <t>Sensor de nível sem leitura no tanque E-08</t>
        </is>
      </c>
      <c r="C502" t="inlineStr">
        <is>
          <t>Supervisório mostra leitura congelada do sensor de nível do tanque E-08.</t>
        </is>
      </c>
      <c r="D502" t="inlineStr">
        <is>
          <t>Oficina Elétrica Central</t>
        </is>
      </c>
      <c r="E502" t="inlineStr">
        <is>
          <t>Média</t>
        </is>
      </c>
      <c r="F502" t="inlineStr">
        <is>
          <t>Glória Sampaio</t>
        </is>
      </c>
      <c r="G502" t="inlineStr">
        <is>
          <t>Fechada</t>
        </is>
      </c>
      <c r="H502" s="5" t="n">
        <v>45811.85694444444</v>
      </c>
    </row>
    <row r="503">
      <c r="A503" t="inlineStr">
        <is>
          <t>OS-2001</t>
        </is>
      </c>
      <c r="B503" t="inlineStr">
        <is>
          <t>Sensor de nível sem leitura no tanque F-04</t>
        </is>
      </c>
      <c r="C503" t="inlineStr">
        <is>
          <t>Supervisório mostra leitura congelada do sensor de nível do tanque F-04.</t>
        </is>
      </c>
      <c r="D503" t="inlineStr">
        <is>
          <t>Adutora Tronco Norte</t>
        </is>
      </c>
      <c r="E503" t="inlineStr">
        <is>
          <t>Média</t>
        </is>
      </c>
      <c r="F503" t="inlineStr">
        <is>
          <t>Marcos Vinícius Rocha</t>
        </is>
      </c>
      <c r="G503" t="inlineStr">
        <is>
          <t>Fechada</t>
        </is>
      </c>
      <c r="H503" s="5" t="n">
        <v>45812.175</v>
      </c>
    </row>
    <row r="504">
      <c r="A504" t="inlineStr">
        <is>
          <t>OS-2002</t>
        </is>
      </c>
      <c r="B504" t="inlineStr">
        <is>
          <t>Bomba dosadora R-02 sem recalque</t>
        </is>
      </c>
      <c r="C504" t="inlineStr">
        <is>
          <t>Bomba dosadora R-02 liga mas não dosa. Mangueira sem obstrução aparente.</t>
        </is>
      </c>
      <c r="D504" t="inlineStr">
        <is>
          <t>Centro de Operações</t>
        </is>
      </c>
      <c r="E504" t="inlineStr">
        <is>
          <t>Baixa</t>
        </is>
      </c>
      <c r="F504" t="inlineStr">
        <is>
          <t>Cíntia Freitas</t>
        </is>
      </c>
      <c r="G504" t="inlineStr">
        <is>
          <t>Fechada</t>
        </is>
      </c>
      <c r="H504" s="5" t="n">
        <v>45812.45277777778</v>
      </c>
    </row>
    <row r="505">
      <c r="A505" t="inlineStr">
        <is>
          <t>OS-2003</t>
        </is>
      </c>
      <c r="B505" t="inlineStr">
        <is>
          <t>Vazamento na bomba F-01</t>
        </is>
      </c>
      <c r="C505" t="inlineStr">
        <is>
          <t>Vazamento pelo selo mecânico da bomba F-01. Piso molhado ao redor da base.</t>
        </is>
      </c>
      <c r="D505" t="inlineStr">
        <is>
          <t>Oficina Mecânica Central</t>
        </is>
      </c>
      <c r="E505" t="inlineStr">
        <is>
          <t>Média</t>
        </is>
      </c>
      <c r="F505" t="inlineStr">
        <is>
          <t>Danilo Peixoto</t>
        </is>
      </c>
      <c r="G505" t="inlineStr">
        <is>
          <t>Fechada</t>
        </is>
      </c>
      <c r="H505" s="5" t="n">
        <v>45812.78263888889</v>
      </c>
    </row>
    <row r="506">
      <c r="A506" t="inlineStr">
        <is>
          <t>OS-2004</t>
        </is>
      </c>
      <c r="B506" t="inlineStr">
        <is>
          <t>Tomada sem energia na sala F-13</t>
        </is>
      </c>
      <c r="C506" t="inlineStr">
        <is>
          <t>Tomada de serviço da sala F-13 sem tensão.</t>
        </is>
      </c>
      <c r="D506" t="inlineStr">
        <is>
          <t>Subestação Sul</t>
        </is>
      </c>
      <c r="E506" t="inlineStr">
        <is>
          <t>Baixa</t>
        </is>
      </c>
      <c r="F506" t="inlineStr">
        <is>
          <t>Igor Fonseca</t>
        </is>
      </c>
      <c r="G506" t="inlineStr">
        <is>
          <t>Fechada</t>
        </is>
      </c>
      <c r="H506" s="5" t="n">
        <v>45813.07569444444</v>
      </c>
    </row>
    <row r="507">
      <c r="A507" t="inlineStr">
        <is>
          <t>OS-2005</t>
        </is>
      </c>
      <c r="B507" t="inlineStr">
        <is>
          <t>Pintura descascada na estrutura C-40</t>
        </is>
      </c>
      <c r="C507" t="inlineStr">
        <is>
          <t>Estrutura metálica C-40 com pontos de corrosão sob a pintura.</t>
        </is>
      </c>
      <c r="D507" t="inlineStr">
        <is>
          <t>ETA Central</t>
        </is>
      </c>
      <c r="E507" t="inlineStr">
        <is>
          <t>Média</t>
        </is>
      </c>
      <c r="F507" t="inlineStr">
        <is>
          <t>Ingrid Queiroz</t>
        </is>
      </c>
      <c r="G507" t="inlineStr">
        <is>
          <t>Fechada</t>
        </is>
      </c>
      <c r="H507" s="5" t="n">
        <v>45813.39305555556</v>
      </c>
    </row>
    <row r="508">
      <c r="A508" t="inlineStr">
        <is>
          <t>OS-2006</t>
        </is>
      </c>
      <c r="B508" t="inlineStr">
        <is>
          <t>Exaustor R-06 parado</t>
        </is>
      </c>
      <c r="C508" t="inlineStr">
        <is>
          <t>Exaustor R-06 não parte. Fusível íntegro.</t>
        </is>
      </c>
      <c r="D508" t="inlineStr">
        <is>
          <t>Almoxarifado Central</t>
        </is>
      </c>
      <c r="E508" t="inlineStr">
        <is>
          <t>Alta</t>
        </is>
      </c>
      <c r="F508" t="inlineStr">
        <is>
          <t>Jonas Teles</t>
        </is>
      </c>
      <c r="G508" t="inlineStr">
        <is>
          <t>Fechada</t>
        </is>
      </c>
      <c r="H508" s="5" t="n">
        <v>45813.68541666667</v>
      </c>
    </row>
    <row r="509">
      <c r="A509" t="inlineStr">
        <is>
          <t>OS-2007</t>
        </is>
      </c>
      <c r="B509" t="inlineStr">
        <is>
          <t>Medidor de vazão M-34 com leitura instável</t>
        </is>
      </c>
      <c r="C509" t="inlineStr">
        <is>
          <t>Medidor de vazão M-34 oscila sem variação de processo.</t>
        </is>
      </c>
      <c r="D509" t="inlineStr">
        <is>
          <t>Booster Parque das Águas</t>
        </is>
      </c>
      <c r="E509" t="inlineStr">
        <is>
          <t>Média</t>
        </is>
      </c>
      <c r="F509" t="inlineStr">
        <is>
          <t>Fernanda Quintela</t>
        </is>
      </c>
      <c r="G509" t="inlineStr">
        <is>
          <t>Fechada</t>
        </is>
      </c>
      <c r="H509" s="5" t="n">
        <v>45813.98680555556</v>
      </c>
    </row>
    <row r="510">
      <c r="A510" t="inlineStr">
        <is>
          <t>OS-2008</t>
        </is>
      </c>
      <c r="B510" t="inlineStr">
        <is>
          <t>Portão da área A-29 emperrado</t>
        </is>
      </c>
      <c r="C510" t="inlineStr">
        <is>
          <t>Portão de acesso da área A-29 exige força excessiva para abrir.</t>
        </is>
      </c>
      <c r="D510" t="inlineStr">
        <is>
          <t>Reservatório Alto da Colina</t>
        </is>
      </c>
      <c r="E510" t="inlineStr">
        <is>
          <t>Média</t>
        </is>
      </c>
      <c r="F510" t="inlineStr">
        <is>
          <t>Juliana Aguiar</t>
        </is>
      </c>
      <c r="G510" t="inlineStr">
        <is>
          <t>Fechada</t>
        </is>
      </c>
      <c r="H510" s="5" t="n">
        <v>45814.29861111111</v>
      </c>
    </row>
    <row r="511">
      <c r="A511" t="inlineStr">
        <is>
          <t>OS-2009</t>
        </is>
      </c>
      <c r="B511" t="inlineStr">
        <is>
          <t>Exaustor R-22 parado</t>
        </is>
      </c>
      <c r="C511" t="inlineStr">
        <is>
          <t>Exaustor R-22 não parte. Fusível íntegro.</t>
        </is>
      </c>
      <c r="D511" t="inlineStr">
        <is>
          <t>Adutora Tronco Sul</t>
        </is>
      </c>
      <c r="E511" t="inlineStr">
        <is>
          <t>Média</t>
        </is>
      </c>
      <c r="F511" t="inlineStr">
        <is>
          <t>Daniela Pires</t>
        </is>
      </c>
      <c r="G511" t="inlineStr">
        <is>
          <t>Fechada</t>
        </is>
      </c>
      <c r="H511" s="5" t="n">
        <v>45814.59861111111</v>
      </c>
    </row>
    <row r="512">
      <c r="A512" t="inlineStr">
        <is>
          <t>OS-2010</t>
        </is>
      </c>
      <c r="B512" t="inlineStr">
        <is>
          <t>Disjuntor desarmando no painel A-17</t>
        </is>
      </c>
      <c r="C512" t="inlineStr">
        <is>
          <t>Disjuntor do painel A-17 desarmou três vezes no turno. Carga dentro do nominal.</t>
        </is>
      </c>
      <c r="D512" t="inlineStr">
        <is>
          <t>Estação de Bombeamento Vila Nova</t>
        </is>
      </c>
      <c r="E512" t="inlineStr">
        <is>
          <t>Baixa</t>
        </is>
      </c>
      <c r="F512" t="inlineStr">
        <is>
          <t>Yara Medeiros</t>
        </is>
      </c>
      <c r="G512" t="inlineStr">
        <is>
          <t>Fechada</t>
        </is>
      </c>
      <c r="H512" s="5" t="n">
        <v>45814.90208333333</v>
      </c>
    </row>
    <row r="513">
      <c r="A513" t="inlineStr">
        <is>
          <t>OS-2011</t>
        </is>
      </c>
      <c r="B513" t="inlineStr">
        <is>
          <t>Aquecimento no mancal do motor F-17</t>
        </is>
      </c>
      <c r="C513" t="inlineStr">
        <is>
          <t>Mancal do motor F-17 acima da temperatura usual na medição com termômetro infravermelho.</t>
        </is>
      </c>
      <c r="D513" t="inlineStr">
        <is>
          <t>Estação Elevatória Porto</t>
        </is>
      </c>
      <c r="E513" t="inlineStr">
        <is>
          <t>Alta</t>
        </is>
      </c>
      <c r="F513" t="inlineStr">
        <is>
          <t>Zeca Moraes</t>
        </is>
      </c>
      <c r="G513" t="inlineStr">
        <is>
          <t>Fechada</t>
        </is>
      </c>
      <c r="H513" s="5" t="n">
        <v>45815.22291666667</v>
      </c>
    </row>
    <row r="514">
      <c r="A514" t="inlineStr">
        <is>
          <t>OS-2012</t>
        </is>
      </c>
      <c r="B514" t="inlineStr">
        <is>
          <t>Ar-condicionado da sala R-24 sem refrigerar</t>
        </is>
      </c>
      <c r="C514" t="inlineStr">
        <is>
          <t>Ar-condicionado da sala de painéis R-24 ligado sem refrigerar.</t>
        </is>
      </c>
      <c r="D514" t="inlineStr">
        <is>
          <t>Adutora Tronco Sul</t>
        </is>
      </c>
      <c r="E514" t="inlineStr">
        <is>
          <t>Baixa</t>
        </is>
      </c>
      <c r="F514" t="inlineStr">
        <is>
          <t>Ingrid Queiroz</t>
        </is>
      </c>
      <c r="G514" t="inlineStr">
        <is>
          <t>Fechada</t>
        </is>
      </c>
      <c r="H514" s="5" t="n">
        <v>45815.51875</v>
      </c>
    </row>
    <row r="515">
      <c r="A515" t="inlineStr">
        <is>
          <t>OS-2013</t>
        </is>
      </c>
      <c r="B515" t="inlineStr">
        <is>
          <t>Medidor de vazão G-20 com leitura instável</t>
        </is>
      </c>
      <c r="C515" t="inlineStr">
        <is>
          <t>Medidor de vazão G-20 oscila sem variação de processo.</t>
        </is>
      </c>
      <c r="D515" t="inlineStr">
        <is>
          <t>Adutora Tronco Sul</t>
        </is>
      </c>
      <c r="E515" t="inlineStr">
        <is>
          <t>Média</t>
        </is>
      </c>
      <c r="F515" t="inlineStr">
        <is>
          <t>Juliana Aguiar</t>
        </is>
      </c>
      <c r="G515" t="inlineStr">
        <is>
          <t>Fechada</t>
        </is>
      </c>
      <c r="H515" s="5" t="n">
        <v>45815.82847222222</v>
      </c>
    </row>
    <row r="516">
      <c r="A516" t="inlineStr">
        <is>
          <t>OS-2014</t>
        </is>
      </c>
      <c r="B516" t="inlineStr">
        <is>
          <t>Bomba dosadora V-16 sem recalque</t>
        </is>
      </c>
      <c r="C516" t="inlineStr">
        <is>
          <t>Bomba dosadora V-16 liga mas não dosa. Mangueira sem obstrução aparente.</t>
        </is>
      </c>
      <c r="D516" t="inlineStr">
        <is>
          <t>Adutora Tronco Sul</t>
        </is>
      </c>
      <c r="E516" t="inlineStr">
        <is>
          <t>Baixa</t>
        </is>
      </c>
      <c r="F516" t="inlineStr">
        <is>
          <t>Érica Andrade</t>
        </is>
      </c>
      <c r="G516" t="inlineStr">
        <is>
          <t>Fechada</t>
        </is>
      </c>
      <c r="H516" s="5" t="n">
        <v>45816.14305555556</v>
      </c>
    </row>
    <row r="517">
      <c r="A517" t="inlineStr">
        <is>
          <t>OS-2015</t>
        </is>
      </c>
      <c r="B517" t="inlineStr">
        <is>
          <t>Ar-condicionado da sala E-20 sem refrigerar</t>
        </is>
      </c>
      <c r="C517" t="inlineStr">
        <is>
          <t>Ar-condicionado da sala de painéis E-20 ligado sem refrigerar.</t>
        </is>
      </c>
      <c r="D517" t="inlineStr">
        <is>
          <t>ETE Vale do Sol</t>
        </is>
      </c>
      <c r="E517" t="inlineStr">
        <is>
          <t>Média</t>
        </is>
      </c>
      <c r="F517" t="inlineStr">
        <is>
          <t>Vagner Pacheco</t>
        </is>
      </c>
      <c r="G517" t="inlineStr">
        <is>
          <t>Fechada</t>
        </is>
      </c>
      <c r="H517" s="5" t="n">
        <v>45816.44166666667</v>
      </c>
    </row>
    <row r="518">
      <c r="A518" t="inlineStr">
        <is>
          <t>OS-2016</t>
        </is>
      </c>
      <c r="B518" t="inlineStr">
        <is>
          <t>Aquecimento no mancal do motor P-32</t>
        </is>
      </c>
      <c r="C518" t="inlineStr">
        <is>
          <t>Mancal do motor P-32 acima da temperatura usual na medição com termômetro infravermelho.</t>
        </is>
      </c>
      <c r="D518" t="inlineStr">
        <is>
          <t>Estação de Bombeamento Três Pontes</t>
        </is>
      </c>
      <c r="E518" t="inlineStr">
        <is>
          <t>Baixa</t>
        </is>
      </c>
      <c r="F518" t="inlineStr">
        <is>
          <t>Fernanda Quintela</t>
        </is>
      </c>
      <c r="G518" t="inlineStr">
        <is>
          <t>Fechada</t>
        </is>
      </c>
      <c r="H518" s="5" t="n">
        <v>45816.71944444445</v>
      </c>
    </row>
    <row r="519">
      <c r="A519" t="inlineStr">
        <is>
          <t>OS-2017</t>
        </is>
      </c>
      <c r="B519" t="inlineStr">
        <is>
          <t>Sensor de nível sem leitura no tanque A-17</t>
        </is>
      </c>
      <c r="C519" t="inlineStr">
        <is>
          <t>Supervisório mostra leitura congelada do sensor de nível do tanque A-17.</t>
        </is>
      </c>
      <c r="D519" t="inlineStr">
        <is>
          <t>Centro de Operações</t>
        </is>
      </c>
      <c r="E519" t="inlineStr">
        <is>
          <t>Alta</t>
        </is>
      </c>
      <c r="F519" t="inlineStr">
        <is>
          <t>Heloísa Barreto</t>
        </is>
      </c>
      <c r="G519" t="inlineStr">
        <is>
          <t>Fechada</t>
        </is>
      </c>
      <c r="H519" s="5" t="n">
        <v>45817.03263888889</v>
      </c>
    </row>
    <row r="520">
      <c r="A520" t="inlineStr">
        <is>
          <t>OS-2018</t>
        </is>
      </c>
      <c r="B520" t="inlineStr">
        <is>
          <t>Sensor de nível sem leitura no tanque F-19</t>
        </is>
      </c>
      <c r="C520" t="inlineStr">
        <is>
          <t>Supervisório mostra leitura congelada do sensor de nível do tanque F-19.</t>
        </is>
      </c>
      <c r="D520" t="inlineStr">
        <is>
          <t>Reservatório Santa Luzia</t>
        </is>
      </c>
      <c r="E520" t="inlineStr">
        <is>
          <t>Baixa</t>
        </is>
      </c>
      <c r="F520" t="inlineStr">
        <is>
          <t>Yara Medeiros</t>
        </is>
      </c>
      <c r="G520" t="inlineStr">
        <is>
          <t>Fechada</t>
        </is>
      </c>
      <c r="H520" s="5" t="n">
        <v>45817.36041666667</v>
      </c>
    </row>
    <row r="521">
      <c r="A521" t="inlineStr">
        <is>
          <t>OS-2019</t>
        </is>
      </c>
      <c r="B521" t="inlineStr">
        <is>
          <t>Aquecimento no mancal do motor V-09</t>
        </is>
      </c>
      <c r="C521" t="inlineStr">
        <is>
          <t>Mancal do motor V-09 acima da temperatura usual na medição com termômetro infravermelho.</t>
        </is>
      </c>
      <c r="D521" t="inlineStr">
        <is>
          <t>Pátio de Veículos</t>
        </is>
      </c>
      <c r="E521" t="inlineStr">
        <is>
          <t>Média</t>
        </is>
      </c>
      <c r="F521" t="inlineStr">
        <is>
          <t>Heloísa Barreto</t>
        </is>
      </c>
      <c r="G521" t="inlineStr">
        <is>
          <t>Fechada</t>
        </is>
      </c>
      <c r="H521" s="5" t="n">
        <v>45817.6375</v>
      </c>
    </row>
    <row r="522">
      <c r="A522" t="inlineStr">
        <is>
          <t>OS-2020</t>
        </is>
      </c>
      <c r="B522" t="inlineStr">
        <is>
          <t>Correia do ventilador G-03 desgastada</t>
        </is>
      </c>
      <c r="C522" t="inlineStr">
        <is>
          <t>Correia do ventilador G-03 com trincas visíveis e folga excessiva.</t>
        </is>
      </c>
      <c r="D522" t="inlineStr">
        <is>
          <t>Estação Elevatória Leste</t>
        </is>
      </c>
      <c r="E522" t="inlineStr">
        <is>
          <t>Média</t>
        </is>
      </c>
      <c r="F522" t="inlineStr">
        <is>
          <t>Simone Carvalho</t>
        </is>
      </c>
      <c r="G522" t="inlineStr">
        <is>
          <t>Fechada</t>
        </is>
      </c>
      <c r="H522" s="5" t="n">
        <v>45817.94375</v>
      </c>
    </row>
    <row r="523">
      <c r="A523" t="inlineStr">
        <is>
          <t>OS-2021</t>
        </is>
      </c>
      <c r="B523" t="inlineStr">
        <is>
          <t>Disjuntor desarmando no painel G-10</t>
        </is>
      </c>
      <c r="C523" t="inlineStr">
        <is>
          <t>Disjuntor do painel G-10 desarmou três vezes no turno. Carga dentro do nominal.</t>
        </is>
      </c>
      <c r="D523" t="inlineStr">
        <is>
          <t>Subestação Norte</t>
        </is>
      </c>
      <c r="E523" t="inlineStr">
        <is>
          <t>Média</t>
        </is>
      </c>
      <c r="F523" t="inlineStr">
        <is>
          <t>Rafael Torres</t>
        </is>
      </c>
      <c r="G523" t="inlineStr">
        <is>
          <t>Fechada</t>
        </is>
      </c>
      <c r="H523" s="5" t="n">
        <v>45818.26666666667</v>
      </c>
    </row>
    <row r="524">
      <c r="A524" t="inlineStr">
        <is>
          <t>OS-2022</t>
        </is>
      </c>
      <c r="B524" t="inlineStr">
        <is>
          <t>Calha entupida no prédio M-28</t>
        </is>
      </c>
      <c r="C524" t="inlineStr">
        <is>
          <t>Calha do prédio M-28 transbordando em dia de chuva.</t>
        </is>
      </c>
      <c r="D524" t="inlineStr">
        <is>
          <t>Galpão de Materiais</t>
        </is>
      </c>
      <c r="E524" t="inlineStr">
        <is>
          <t>Baixa</t>
        </is>
      </c>
      <c r="F524" t="inlineStr">
        <is>
          <t>Beatriz Farias</t>
        </is>
      </c>
      <c r="G524" t="inlineStr">
        <is>
          <t>Fechada</t>
        </is>
      </c>
      <c r="H524" s="5" t="n">
        <v>45818.56458333333</v>
      </c>
    </row>
    <row r="525">
      <c r="A525" t="inlineStr">
        <is>
          <t>OS-2023</t>
        </is>
      </c>
      <c r="B525" t="inlineStr">
        <is>
          <t>Pintura descascada na estrutura P-38</t>
        </is>
      </c>
      <c r="C525" t="inlineStr">
        <is>
          <t>Estrutura metálica P-38 com pontos de corrosão sob a pintura.</t>
        </is>
      </c>
      <c r="D525" t="inlineStr">
        <is>
          <t>Subestação Leste</t>
        </is>
      </c>
      <c r="E525" t="inlineStr">
        <is>
          <t>Média</t>
        </is>
      </c>
      <c r="F525" t="inlineStr">
        <is>
          <t>Lívia Montenegro</t>
        </is>
      </c>
      <c r="G525" t="inlineStr">
        <is>
          <t>Fechada</t>
        </is>
      </c>
      <c r="H525" s="5" t="n">
        <v>45818.85972222222</v>
      </c>
    </row>
    <row r="526">
      <c r="A526" t="inlineStr">
        <is>
          <t>OS-2024</t>
        </is>
      </c>
      <c r="B526" t="inlineStr">
        <is>
          <t>Aquecimento no mancal do motor T-08</t>
        </is>
      </c>
      <c r="C526" t="inlineStr">
        <is>
          <t>Mancal do motor T-08 acima da temperatura usual na medição com termômetro infravermelho.</t>
        </is>
      </c>
      <c r="D526" t="inlineStr">
        <is>
          <t>Reservatório Alto da Colina</t>
        </is>
      </c>
      <c r="E526" t="inlineStr">
        <is>
          <t>Alta</t>
        </is>
      </c>
      <c r="F526" t="inlineStr">
        <is>
          <t>Bernardo Leal</t>
        </is>
      </c>
      <c r="G526" t="inlineStr">
        <is>
          <t>Fechada</t>
        </is>
      </c>
      <c r="H526" s="5" t="n">
        <v>45819.19513888889</v>
      </c>
    </row>
    <row r="527">
      <c r="A527" t="inlineStr">
        <is>
          <t>OS-2025</t>
        </is>
      </c>
      <c r="B527" t="inlineStr">
        <is>
          <t>Infiltração na parede da casa de bombas D-27</t>
        </is>
      </c>
      <c r="C527" t="inlineStr">
        <is>
          <t>Mancha de umidade crescente na parede da casa de bombas D-27.</t>
        </is>
      </c>
      <c r="D527" t="inlineStr">
        <is>
          <t>Usina Fotovoltaica Planalto</t>
        </is>
      </c>
      <c r="E527" t="inlineStr">
        <is>
          <t>Média</t>
        </is>
      </c>
      <c r="F527" t="inlineStr">
        <is>
          <t>Otávio Lacerda</t>
        </is>
      </c>
      <c r="G527" t="inlineStr">
        <is>
          <t>Fechada</t>
        </is>
      </c>
      <c r="H527" s="5" t="n">
        <v>45819.47222222222</v>
      </c>
    </row>
    <row r="528">
      <c r="A528" t="inlineStr">
        <is>
          <t>OS-2026</t>
        </is>
      </c>
      <c r="B528" t="inlineStr">
        <is>
          <t>Aquecimento no mancal do motor T-10</t>
        </is>
      </c>
      <c r="C528" t="inlineStr">
        <is>
          <t>Mancal do motor T-10 acima da temperatura usual na medição com termômetro infravermelho.</t>
        </is>
      </c>
      <c r="D528" t="inlineStr">
        <is>
          <t>Subestação Centro</t>
        </is>
      </c>
      <c r="E528" t="inlineStr">
        <is>
          <t>Alta</t>
        </is>
      </c>
      <c r="F528" t="inlineStr">
        <is>
          <t>Eduardo Salles</t>
        </is>
      </c>
      <c r="G528" t="inlineStr">
        <is>
          <t>Fechada</t>
        </is>
      </c>
      <c r="H528" s="5" t="n">
        <v>45819.79513888889</v>
      </c>
    </row>
    <row r="529">
      <c r="A529" t="inlineStr">
        <is>
          <t>OS-2027</t>
        </is>
      </c>
      <c r="B529" t="inlineStr">
        <is>
          <t>Ar-condicionado da sala D-38 sem refrigerar</t>
        </is>
      </c>
      <c r="C529" t="inlineStr">
        <is>
          <t>Ar-condicionado da sala de painéis D-38 ligado sem refrigerar.</t>
        </is>
      </c>
      <c r="D529" t="inlineStr">
        <is>
          <t>Subestação Sul</t>
        </is>
      </c>
      <c r="E529" t="inlineStr">
        <is>
          <t>Média</t>
        </is>
      </c>
      <c r="F529" t="inlineStr">
        <is>
          <t>Beatriz Farias</t>
        </is>
      </c>
      <c r="G529" t="inlineStr">
        <is>
          <t>Fechada</t>
        </is>
      </c>
      <c r="H529" s="5" t="n">
        <v>45820.09583333333</v>
      </c>
    </row>
    <row r="530">
      <c r="A530" t="inlineStr">
        <is>
          <t>OS-2028</t>
        </is>
      </c>
      <c r="B530" t="inlineStr">
        <is>
          <t>Exaustor C-06 parado</t>
        </is>
      </c>
      <c r="C530" t="inlineStr">
        <is>
          <t>Exaustor C-06 não parte. Fusível íntegro.</t>
        </is>
      </c>
      <c r="D530" t="inlineStr">
        <is>
          <t>Booster Morada do Sol</t>
        </is>
      </c>
      <c r="E530" t="inlineStr">
        <is>
          <t>Alta</t>
        </is>
      </c>
      <c r="F530" t="inlineStr">
        <is>
          <t>Rafael Torres</t>
        </is>
      </c>
      <c r="G530" t="inlineStr">
        <is>
          <t>Fechada</t>
        </is>
      </c>
      <c r="H530" s="5" t="n">
        <v>45820.39791666667</v>
      </c>
    </row>
    <row r="531">
      <c r="A531" t="inlineStr">
        <is>
          <t>OS-2029</t>
        </is>
      </c>
      <c r="B531" t="inlineStr">
        <is>
          <t>Pintura descascada na estrutura P-04</t>
        </is>
      </c>
      <c r="C531" t="inlineStr">
        <is>
          <t>Estrutura metálica P-04 com pontos de corrosão sob a pintura.</t>
        </is>
      </c>
      <c r="D531" t="inlineStr">
        <is>
          <t>Reservatório Alto da Colina</t>
        </is>
      </c>
      <c r="E531" t="inlineStr">
        <is>
          <t>Alta</t>
        </is>
      </c>
      <c r="F531" t="inlineStr">
        <is>
          <t>Cíntia Freitas</t>
        </is>
      </c>
      <c r="G531" t="inlineStr">
        <is>
          <t>Fechada</t>
        </is>
      </c>
      <c r="H531" s="5" t="n">
        <v>45820.7</v>
      </c>
    </row>
    <row r="532">
      <c r="A532" t="inlineStr">
        <is>
          <t>OS-2030</t>
        </is>
      </c>
      <c r="B532" t="inlineStr">
        <is>
          <t>Tomada sem energia na sala M-33</t>
        </is>
      </c>
      <c r="C532" t="inlineStr">
        <is>
          <t>Tomada de serviço da sala M-33 sem tensão.</t>
        </is>
      </c>
      <c r="D532" t="inlineStr">
        <is>
          <t>Captação Lagoa Seca</t>
        </is>
      </c>
      <c r="E532" t="inlineStr">
        <is>
          <t>Baixa</t>
        </is>
      </c>
      <c r="F532" t="inlineStr">
        <is>
          <t>Murilo Paiva</t>
        </is>
      </c>
      <c r="G532" t="inlineStr">
        <is>
          <t>Fechada</t>
        </is>
      </c>
      <c r="H532" s="5" t="n">
        <v>45820.99513888889</v>
      </c>
    </row>
    <row r="533">
      <c r="A533" t="inlineStr">
        <is>
          <t>OS-2031</t>
        </is>
      </c>
      <c r="B533" t="inlineStr">
        <is>
          <t>Sensor de nível sem leitura no tanque R-40</t>
        </is>
      </c>
      <c r="C533" t="inlineStr">
        <is>
          <t>Supervisório mostra leitura congelada do sensor de nível do tanque R-40.</t>
        </is>
      </c>
      <c r="D533" t="inlineStr">
        <is>
          <t>Subestação Centro</t>
        </is>
      </c>
      <c r="E533" t="inlineStr">
        <is>
          <t>Média</t>
        </is>
      </c>
      <c r="F533" t="inlineStr">
        <is>
          <t>Glória Sampaio</t>
        </is>
      </c>
      <c r="G533" t="inlineStr">
        <is>
          <t>Fechada</t>
        </is>
      </c>
      <c r="H533" s="5" t="n">
        <v>45821.32847222222</v>
      </c>
    </row>
    <row r="534">
      <c r="A534" t="inlineStr">
        <is>
          <t>OS-2032</t>
        </is>
      </c>
      <c r="B534" t="inlineStr">
        <is>
          <t>Aquecimento no mancal do motor D-08</t>
        </is>
      </c>
      <c r="C534" t="inlineStr">
        <is>
          <t>Mancal do motor D-08 acima da temperatura usual na medição com termômetro infravermelho.</t>
        </is>
      </c>
      <c r="D534" t="inlineStr">
        <is>
          <t>Captação Lagoa Seca</t>
        </is>
      </c>
      <c r="E534" t="inlineStr">
        <is>
          <t>Média</t>
        </is>
      </c>
      <c r="F534" t="inlineStr">
        <is>
          <t>Kleber Antunes</t>
        </is>
      </c>
      <c r="G534" t="inlineStr">
        <is>
          <t>Fechada</t>
        </is>
      </c>
      <c r="H534" s="5" t="n">
        <v>45821.61666666667</v>
      </c>
    </row>
    <row r="535">
      <c r="A535" t="inlineStr">
        <is>
          <t>OS-2033</t>
        </is>
      </c>
      <c r="B535" t="inlineStr">
        <is>
          <t>Ruído anormal no motor C-19</t>
        </is>
      </c>
      <c r="C535" t="inlineStr">
        <is>
          <t>Ruído intermitente no motor C-19 durante a partida. Temperatura normal ao toque.</t>
        </is>
      </c>
      <c r="D535" t="inlineStr">
        <is>
          <t>Estação Elevatória Oeste</t>
        </is>
      </c>
      <c r="E535" t="inlineStr">
        <is>
          <t>Alta</t>
        </is>
      </c>
      <c r="F535" t="inlineStr">
        <is>
          <t>Thiago Bastos</t>
        </is>
      </c>
      <c r="G535" t="inlineStr">
        <is>
          <t>Fechada</t>
        </is>
      </c>
      <c r="H535" s="5" t="n">
        <v>45821.90972222222</v>
      </c>
    </row>
    <row r="536">
      <c r="A536" t="inlineStr">
        <is>
          <t>OS-2034</t>
        </is>
      </c>
      <c r="B536" t="inlineStr">
        <is>
          <t>Sensor de nível sem leitura no tanque D-23</t>
        </is>
      </c>
      <c r="C536" t="inlineStr">
        <is>
          <t>Supervisório mostra leitura congelada do sensor de nível do tanque D-23.</t>
        </is>
      </c>
      <c r="D536" t="inlineStr">
        <is>
          <t>Estação Elevatória Leste</t>
        </is>
      </c>
      <c r="E536" t="inlineStr">
        <is>
          <t>Média</t>
        </is>
      </c>
      <c r="F536" t="inlineStr">
        <is>
          <t>Kleber Antunes</t>
        </is>
      </c>
      <c r="G536" t="inlineStr">
        <is>
          <t>Fechada</t>
        </is>
      </c>
      <c r="H536" s="5" t="n">
        <v>45822.22430555556</v>
      </c>
    </row>
    <row r="537">
      <c r="A537" t="inlineStr">
        <is>
          <t>OS-2035</t>
        </is>
      </c>
      <c r="B537" t="inlineStr">
        <is>
          <t>Troca de filtro do compressor E-26</t>
        </is>
      </c>
      <c r="C537" t="inlineStr">
        <is>
          <t>Filtro de ar do compressor E-26 saturado. Substituição preventiva.</t>
        </is>
      </c>
      <c r="D537" t="inlineStr">
        <is>
          <t>Usina Fotovoltaica Planalto</t>
        </is>
      </c>
      <c r="E537" t="inlineStr">
        <is>
          <t>Alta</t>
        </is>
      </c>
      <c r="F537" t="inlineStr">
        <is>
          <t>Flávio Gusmão</t>
        </is>
      </c>
      <c r="G537" t="inlineStr">
        <is>
          <t>Fechada</t>
        </is>
      </c>
      <c r="H537" s="5" t="n">
        <v>45822.53472222222</v>
      </c>
    </row>
    <row r="538">
      <c r="A538" t="inlineStr">
        <is>
          <t>OS-2036</t>
        </is>
      </c>
      <c r="B538" t="inlineStr">
        <is>
          <t>Válvula H-23 não fecha por completo</t>
        </is>
      </c>
      <c r="C538" t="inlineStr">
        <is>
          <t>Válvula H-23 com passagem residual mesmo totalmente fechada. Possível desgaste da sede.</t>
        </is>
      </c>
      <c r="D538" t="inlineStr">
        <is>
          <t>Estação Elevatória Porto</t>
        </is>
      </c>
      <c r="E538" t="inlineStr">
        <is>
          <t>Média</t>
        </is>
      </c>
      <c r="F538" t="inlineStr">
        <is>
          <t>Cíntia Freitas</t>
        </is>
      </c>
      <c r="G538" t="inlineStr">
        <is>
          <t>Fechada</t>
        </is>
      </c>
      <c r="H538" s="5" t="n">
        <v>45822.84930555556</v>
      </c>
    </row>
    <row r="539">
      <c r="A539" t="inlineStr">
        <is>
          <t>OS-2037</t>
        </is>
      </c>
      <c r="B539" t="inlineStr">
        <is>
          <t>Disjuntor desarmando no painel T-18</t>
        </is>
      </c>
      <c r="C539" t="inlineStr">
        <is>
          <t>Disjuntor do painel T-18 desarmou três vezes no turno. Carga dentro do nominal.</t>
        </is>
      </c>
      <c r="D539" t="inlineStr">
        <is>
          <t>Base Operacional Sul</t>
        </is>
      </c>
      <c r="E539" t="inlineStr">
        <is>
          <t>Baixa</t>
        </is>
      </c>
      <c r="F539" t="inlineStr">
        <is>
          <t>Gabriel Matos</t>
        </is>
      </c>
      <c r="G539" t="inlineStr">
        <is>
          <t>Fechada</t>
        </is>
      </c>
      <c r="H539" s="5" t="n">
        <v>45823.12569444445</v>
      </c>
    </row>
    <row r="540">
      <c r="A540" t="inlineStr">
        <is>
          <t>OS-2038</t>
        </is>
      </c>
      <c r="B540" t="inlineStr">
        <is>
          <t>Disjuntor desarmando no painel H-34</t>
        </is>
      </c>
      <c r="C540" t="inlineStr">
        <is>
          <t>Disjuntor do painel H-34 desarmou três vezes no turno. Carga dentro do nominal.</t>
        </is>
      </c>
      <c r="D540" t="inlineStr">
        <is>
          <t>Estação Elevatória Porto</t>
        </is>
      </c>
      <c r="E540" t="inlineStr">
        <is>
          <t>Alta</t>
        </is>
      </c>
      <c r="F540" t="inlineStr">
        <is>
          <t>Kleber Antunes</t>
        </is>
      </c>
      <c r="G540" t="inlineStr">
        <is>
          <t>Fechada</t>
        </is>
      </c>
      <c r="H540" s="5" t="n">
        <v>45823.43125</v>
      </c>
    </row>
    <row r="541">
      <c r="A541" t="inlineStr">
        <is>
          <t>OS-2039</t>
        </is>
      </c>
      <c r="B541" t="inlineStr">
        <is>
          <t>Calha entupida no prédio D-34</t>
        </is>
      </c>
      <c r="C541" t="inlineStr">
        <is>
          <t>Calha do prédio D-34 transbordando em dia de chuva.</t>
        </is>
      </c>
      <c r="D541" t="inlineStr">
        <is>
          <t>Base Operacional Litoral</t>
        </is>
      </c>
      <c r="E541" t="inlineStr">
        <is>
          <t>Média</t>
        </is>
      </c>
      <c r="F541" t="inlineStr">
        <is>
          <t>Eduardo Salles</t>
        </is>
      </c>
      <c r="G541" t="inlineStr">
        <is>
          <t>Fechada</t>
        </is>
      </c>
      <c r="H541" s="5" t="n">
        <v>45823.76944444444</v>
      </c>
    </row>
    <row r="542">
      <c r="A542" t="inlineStr">
        <is>
          <t>OS-2040</t>
        </is>
      </c>
      <c r="B542" t="inlineStr">
        <is>
          <t>Disjuntor desarmando no painel G-34</t>
        </is>
      </c>
      <c r="C542" t="inlineStr">
        <is>
          <t>Disjuntor do painel G-34 desarmou três vezes no turno. Carga dentro do nominal.</t>
        </is>
      </c>
      <c r="D542" t="inlineStr">
        <is>
          <t>ETA Serra Azul</t>
        </is>
      </c>
      <c r="E542" t="inlineStr">
        <is>
          <t>Alta</t>
        </is>
      </c>
      <c r="F542" t="inlineStr">
        <is>
          <t>Thiago Bastos</t>
        </is>
      </c>
      <c r="G542" t="inlineStr">
        <is>
          <t>Fechada</t>
        </is>
      </c>
      <c r="H542" s="5" t="n">
        <v>45824.04861111111</v>
      </c>
    </row>
    <row r="543">
      <c r="A543" t="inlineStr">
        <is>
          <t>OS-2041</t>
        </is>
      </c>
      <c r="B543" t="inlineStr">
        <is>
          <t>Vazamento de óleo no redutor D-13</t>
        </is>
      </c>
      <c r="C543" t="inlineStr">
        <is>
          <t>Gotejamento de óleo no redutor D-13. Nível ainda dentro da faixa.</t>
        </is>
      </c>
      <c r="D543" t="inlineStr">
        <is>
          <t>Oficina Mecânica Central</t>
        </is>
      </c>
      <c r="E543" t="inlineStr">
        <is>
          <t>Média</t>
        </is>
      </c>
      <c r="F543" t="inlineStr">
        <is>
          <t>Bernardo Leal</t>
        </is>
      </c>
      <c r="G543" t="inlineStr">
        <is>
          <t>Fechada</t>
        </is>
      </c>
      <c r="H543" s="5" t="n">
        <v>45824.36875</v>
      </c>
    </row>
    <row r="544">
      <c r="A544" t="inlineStr">
        <is>
          <t>OS-2042</t>
        </is>
      </c>
      <c r="B544" t="inlineStr">
        <is>
          <t>Ruído anormal no motor G-23</t>
        </is>
      </c>
      <c r="C544" t="inlineStr">
        <is>
          <t>Ruído intermitente no motor G-23 durante a partida. Temperatura normal ao toque.</t>
        </is>
      </c>
      <c r="D544" t="inlineStr">
        <is>
          <t>ETA Ribeirão Fundo</t>
        </is>
      </c>
      <c r="E544" t="inlineStr">
        <is>
          <t>Baixa</t>
        </is>
      </c>
      <c r="F544" t="inlineStr">
        <is>
          <t>Gabriel Matos</t>
        </is>
      </c>
      <c r="G544" t="inlineStr">
        <is>
          <t>Fechada</t>
        </is>
      </c>
      <c r="H544" s="5" t="n">
        <v>45824.67291666667</v>
      </c>
    </row>
    <row r="545">
      <c r="A545" t="inlineStr">
        <is>
          <t>OS-2043</t>
        </is>
      </c>
      <c r="B545" t="inlineStr">
        <is>
          <t>Ar-condicionado da sala D-29 sem refrigerar</t>
        </is>
      </c>
      <c r="C545" t="inlineStr">
        <is>
          <t>Ar-condicionado da sala de painéis D-29 ligado sem refrigerar.</t>
        </is>
      </c>
      <c r="D545" t="inlineStr">
        <is>
          <t>Booster Parque das Águas</t>
        </is>
      </c>
      <c r="E545" t="inlineStr">
        <is>
          <t>Alta</t>
        </is>
      </c>
      <c r="F545" t="inlineStr">
        <is>
          <t>Gabriel Matos</t>
        </is>
      </c>
      <c r="G545" t="inlineStr">
        <is>
          <t>Fechada</t>
        </is>
      </c>
      <c r="H545" s="5" t="n">
        <v>45824.98402777778</v>
      </c>
    </row>
    <row r="546">
      <c r="A546" t="inlineStr">
        <is>
          <t>OS-2044</t>
        </is>
      </c>
      <c r="B546" t="inlineStr">
        <is>
          <t>Calha entupida no prédio H-06</t>
        </is>
      </c>
      <c r="C546" t="inlineStr">
        <is>
          <t>Calha do prédio H-06 transbordando em dia de chuva.</t>
        </is>
      </c>
      <c r="D546" t="inlineStr">
        <is>
          <t>Subestação Oeste</t>
        </is>
      </c>
      <c r="E546" t="inlineStr">
        <is>
          <t>Baixa</t>
        </is>
      </c>
      <c r="F546" t="inlineStr">
        <is>
          <t>Igor Fonseca</t>
        </is>
      </c>
      <c r="G546" t="inlineStr">
        <is>
          <t>Fechada</t>
        </is>
      </c>
      <c r="H546" s="5" t="n">
        <v>45825.28541666667</v>
      </c>
    </row>
    <row r="547">
      <c r="A547" t="inlineStr">
        <is>
          <t>OS-2045</t>
        </is>
      </c>
      <c r="B547" t="inlineStr">
        <is>
          <t>Pintura descascada na estrutura F-33</t>
        </is>
      </c>
      <c r="C547" t="inlineStr">
        <is>
          <t>Estrutura metálica F-33 com pontos de corrosão sob a pintura.</t>
        </is>
      </c>
      <c r="D547" t="inlineStr">
        <is>
          <t>Oficina Mecânica Central</t>
        </is>
      </c>
      <c r="E547" t="inlineStr">
        <is>
          <t>Baixa</t>
        </is>
      </c>
      <c r="F547" t="inlineStr">
        <is>
          <t>Otávio Lacerda</t>
        </is>
      </c>
      <c r="G547" t="inlineStr">
        <is>
          <t>Fechada</t>
        </is>
      </c>
      <c r="H547" s="5" t="n">
        <v>45825.5875</v>
      </c>
    </row>
    <row r="548">
      <c r="A548" t="inlineStr">
        <is>
          <t>OS-2046</t>
        </is>
      </c>
      <c r="B548" t="inlineStr">
        <is>
          <t>Portão da área G-07 emperrado</t>
        </is>
      </c>
      <c r="C548" t="inlineStr">
        <is>
          <t>Portão de acesso da área G-07 exige força excessiva para abrir.</t>
        </is>
      </c>
      <c r="D548" t="inlineStr">
        <is>
          <t>Reservatório Alto da Colina</t>
        </is>
      </c>
      <c r="E548" t="inlineStr">
        <is>
          <t>Baixa</t>
        </is>
      </c>
      <c r="F548" t="inlineStr">
        <is>
          <t>Úrsula Maia</t>
        </is>
      </c>
      <c r="G548" t="inlineStr">
        <is>
          <t>Fechada</t>
        </is>
      </c>
      <c r="H548" s="5" t="n">
        <v>45825.90069444444</v>
      </c>
    </row>
    <row r="549">
      <c r="A549" t="inlineStr">
        <is>
          <t>OS-2047</t>
        </is>
      </c>
      <c r="B549" t="inlineStr">
        <is>
          <t>Vazamento de óleo no redutor E-25</t>
        </is>
      </c>
      <c r="C549" t="inlineStr">
        <is>
          <t>Gotejamento de óleo no redutor E-25. Nível ainda dentro da faixa.</t>
        </is>
      </c>
      <c r="D549" t="inlineStr">
        <is>
          <t>Laboratório de Controle</t>
        </is>
      </c>
      <c r="E549" t="inlineStr">
        <is>
          <t>Média</t>
        </is>
      </c>
      <c r="F549" t="inlineStr">
        <is>
          <t>Fernanda Quintela</t>
        </is>
      </c>
      <c r="G549" t="inlineStr">
        <is>
          <t>Fechada</t>
        </is>
      </c>
      <c r="H549" s="5" t="n">
        <v>45826.19444444445</v>
      </c>
    </row>
    <row r="550">
      <c r="A550" t="inlineStr">
        <is>
          <t>OS-2048</t>
        </is>
      </c>
      <c r="B550" t="inlineStr">
        <is>
          <t>Sensor de nível sem leitura no tanque A-16</t>
        </is>
      </c>
      <c r="C550" t="inlineStr">
        <is>
          <t>Supervisório mostra leitura congelada do sensor de nível do tanque A-16.</t>
        </is>
      </c>
      <c r="D550" t="inlineStr">
        <is>
          <t>Subestação Centro</t>
        </is>
      </c>
      <c r="E550" t="inlineStr">
        <is>
          <t>Média</t>
        </is>
      </c>
      <c r="F550" t="inlineStr">
        <is>
          <t>Simone Carvalho</t>
        </is>
      </c>
      <c r="G550" t="inlineStr">
        <is>
          <t>Fechada</t>
        </is>
      </c>
      <c r="H550" s="5" t="n">
        <v>45826.51527777778</v>
      </c>
    </row>
    <row r="551">
      <c r="A551" t="inlineStr">
        <is>
          <t>OS-2049</t>
        </is>
      </c>
      <c r="B551" t="inlineStr">
        <is>
          <t>Medidor de vazão C-06 com leitura instável</t>
        </is>
      </c>
      <c r="C551" t="inlineStr">
        <is>
          <t>Medidor de vazão C-06 oscila sem variação de processo.</t>
        </is>
      </c>
      <c r="D551" t="inlineStr">
        <is>
          <t>Subestação Norte</t>
        </is>
      </c>
      <c r="E551" t="inlineStr">
        <is>
          <t>Baixa</t>
        </is>
      </c>
      <c r="F551" t="inlineStr">
        <is>
          <t>Simone Carvalho</t>
        </is>
      </c>
      <c r="G551" t="inlineStr">
        <is>
          <t>Fechada</t>
        </is>
      </c>
      <c r="H551" s="5" t="n">
        <v>45826.79930555556</v>
      </c>
    </row>
    <row r="552">
      <c r="A552" t="inlineStr">
        <is>
          <t>OS-2050</t>
        </is>
      </c>
      <c r="B552" t="inlineStr">
        <is>
          <t>Infiltração na parede da casa de bombas C-09</t>
        </is>
      </c>
      <c r="C552" t="inlineStr">
        <is>
          <t>Mancha de umidade crescente na parede da casa de bombas C-09.</t>
        </is>
      </c>
      <c r="D552" t="inlineStr">
        <is>
          <t>Almoxarifado Central</t>
        </is>
      </c>
      <c r="E552" t="inlineStr">
        <is>
          <t>Média</t>
        </is>
      </c>
      <c r="F552" t="inlineStr">
        <is>
          <t>Ingrid Queiroz</t>
        </is>
      </c>
      <c r="G552" t="inlineStr">
        <is>
          <t>Fechada</t>
        </is>
      </c>
      <c r="H552" s="5" t="n">
        <v>45827.10347222222</v>
      </c>
    </row>
    <row r="553">
      <c r="A553" t="inlineStr">
        <is>
          <t>OS-2051</t>
        </is>
      </c>
      <c r="B553" t="inlineStr">
        <is>
          <t>Calha entupida no prédio R-26</t>
        </is>
      </c>
      <c r="C553" t="inlineStr">
        <is>
          <t>Calha do prédio R-26 transbordando em dia de chuva.</t>
        </is>
      </c>
      <c r="D553" t="inlineStr">
        <is>
          <t>Estação de Bombeamento Vila Nova</t>
        </is>
      </c>
      <c r="E553" t="inlineStr">
        <is>
          <t>Baixa</t>
        </is>
      </c>
      <c r="F553" t="inlineStr">
        <is>
          <t>Heloísa Barreto</t>
        </is>
      </c>
      <c r="G553" t="inlineStr">
        <is>
          <t>Fechada</t>
        </is>
      </c>
      <c r="H553" s="5" t="n">
        <v>45827.43055555555</v>
      </c>
    </row>
    <row r="554">
      <c r="A554" t="inlineStr">
        <is>
          <t>OS-2052</t>
        </is>
      </c>
      <c r="B554" t="inlineStr">
        <is>
          <t>Disjuntor desarmando no painel T-27</t>
        </is>
      </c>
      <c r="C554" t="inlineStr">
        <is>
          <t>Disjuntor do painel T-27 desarmou três vezes no turno. Carga dentro do nominal.</t>
        </is>
      </c>
      <c r="D554" t="inlineStr">
        <is>
          <t>Laboratório de Controle</t>
        </is>
      </c>
      <c r="E554" t="inlineStr">
        <is>
          <t>Baixa</t>
        </is>
      </c>
      <c r="F554" t="inlineStr">
        <is>
          <t>Heloísa Barreto</t>
        </is>
      </c>
      <c r="G554" t="inlineStr">
        <is>
          <t>Fechada</t>
        </is>
      </c>
      <c r="H554" s="5" t="n">
        <v>45827.69791666666</v>
      </c>
    </row>
    <row r="555">
      <c r="A555" t="inlineStr">
        <is>
          <t>OS-2053</t>
        </is>
      </c>
      <c r="B555" t="inlineStr">
        <is>
          <t>Pintura descascada na estrutura A-26</t>
        </is>
      </c>
      <c r="C555" t="inlineStr">
        <is>
          <t>Estrutura metálica A-26 com pontos de corrosão sob a pintura.</t>
        </is>
      </c>
      <c r="D555" t="inlineStr">
        <is>
          <t>Subestação Centro</t>
        </is>
      </c>
      <c r="E555" t="inlineStr">
        <is>
          <t>Alta</t>
        </is>
      </c>
      <c r="F555" t="inlineStr">
        <is>
          <t>Lívia Montenegro</t>
        </is>
      </c>
      <c r="G555" t="inlineStr">
        <is>
          <t>Fechada</t>
        </is>
      </c>
      <c r="H555" s="5" t="n">
        <v>45828.03263888889</v>
      </c>
    </row>
    <row r="556">
      <c r="A556" t="inlineStr">
        <is>
          <t>OS-2054</t>
        </is>
      </c>
      <c r="B556" t="inlineStr">
        <is>
          <t>Correia do ventilador G-33 desgastada</t>
        </is>
      </c>
      <c r="C556" t="inlineStr">
        <is>
          <t>Correia do ventilador G-33 com trincas visíveis e folga excessiva.</t>
        </is>
      </c>
      <c r="D556" t="inlineStr">
        <is>
          <t>Laboratório de Controle</t>
        </is>
      </c>
      <c r="E556" t="inlineStr">
        <is>
          <t>Média</t>
        </is>
      </c>
      <c r="F556" t="inlineStr">
        <is>
          <t>Aline Rocha</t>
        </is>
      </c>
      <c r="G556" t="inlineStr">
        <is>
          <t>Fechada</t>
        </is>
      </c>
      <c r="H556" s="5" t="n">
        <v>45828.31597222222</v>
      </c>
    </row>
    <row r="557">
      <c r="A557" t="inlineStr">
        <is>
          <t>OS-2055</t>
        </is>
      </c>
      <c r="B557" t="inlineStr">
        <is>
          <t>Falha de comunicação no CLP C-07</t>
        </is>
      </c>
      <c r="C557" t="inlineStr">
        <is>
          <t>CLP C-07 perde comunicação com o supervisório em intervalos irregulares.</t>
        </is>
      </c>
      <c r="D557" t="inlineStr">
        <is>
          <t>Estação Elevatória Porto</t>
        </is>
      </c>
      <c r="E557" t="inlineStr">
        <is>
          <t>Média</t>
        </is>
      </c>
      <c r="F557" t="inlineStr">
        <is>
          <t>Thiago Bastos</t>
        </is>
      </c>
      <c r="G557" t="inlineStr">
        <is>
          <t>Fechada</t>
        </is>
      </c>
      <c r="H557" s="5" t="n">
        <v>45828.61458333334</v>
      </c>
    </row>
    <row r="558">
      <c r="A558" t="inlineStr">
        <is>
          <t>OS-2056</t>
        </is>
      </c>
      <c r="B558" t="inlineStr">
        <is>
          <t>Exaustor E-04 parado</t>
        </is>
      </c>
      <c r="C558" t="inlineStr">
        <is>
          <t>Exaustor E-04 não parte. Fusível íntegro.</t>
        </is>
      </c>
      <c r="D558" t="inlineStr">
        <is>
          <t>Usina Fotovoltaica Cerrado</t>
        </is>
      </c>
      <c r="E558" t="inlineStr">
        <is>
          <t>Baixa</t>
        </is>
      </c>
      <c r="F558" t="inlineStr">
        <is>
          <t>Wesley Cardoso</t>
        </is>
      </c>
      <c r="G558" t="inlineStr">
        <is>
          <t>Fechada</t>
        </is>
      </c>
      <c r="H558" s="5" t="n">
        <v>45828.94375</v>
      </c>
    </row>
    <row r="559">
      <c r="A559" t="inlineStr">
        <is>
          <t>OS-2057</t>
        </is>
      </c>
      <c r="B559" t="inlineStr">
        <is>
          <t>Aquecimento no mancal do motor C-06</t>
        </is>
      </c>
      <c r="C559" t="inlineStr">
        <is>
          <t>Mancal do motor C-06 acima da temperatura usual na medição com termômetro infravermelho.</t>
        </is>
      </c>
      <c r="D559" t="inlineStr">
        <is>
          <t>Adutora Tronco Sul</t>
        </is>
      </c>
      <c r="E559" t="inlineStr">
        <is>
          <t>Média</t>
        </is>
      </c>
      <c r="F559" t="inlineStr">
        <is>
          <t>Bernardo Leal</t>
        </is>
      </c>
      <c r="G559" t="inlineStr">
        <is>
          <t>Fechada</t>
        </is>
      </c>
      <c r="H559" s="5" t="n">
        <v>45829.24513888889</v>
      </c>
    </row>
    <row r="560">
      <c r="A560" t="inlineStr">
        <is>
          <t>OS-2058</t>
        </is>
      </c>
      <c r="B560" t="inlineStr">
        <is>
          <t>Sensor de nível sem leitura no tanque M-15</t>
        </is>
      </c>
      <c r="C560" t="inlineStr">
        <is>
          <t>Supervisório mostra leitura congelada do sensor de nível do tanque M-15.</t>
        </is>
      </c>
      <c r="D560" t="inlineStr">
        <is>
          <t>ETE Jardim Bela Vista</t>
        </is>
      </c>
      <c r="E560" t="inlineStr">
        <is>
          <t>Alta</t>
        </is>
      </c>
      <c r="F560" t="inlineStr">
        <is>
          <t>Úrsula Maia</t>
        </is>
      </c>
      <c r="G560" t="inlineStr">
        <is>
          <t>Fechada</t>
        </is>
      </c>
      <c r="H560" s="5" t="n">
        <v>45829.57013888889</v>
      </c>
    </row>
    <row r="561">
      <c r="A561" t="inlineStr">
        <is>
          <t>OS-2059</t>
        </is>
      </c>
      <c r="B561" t="inlineStr">
        <is>
          <t>Sensor de nível sem leitura no tanque D-23</t>
        </is>
      </c>
      <c r="C561" t="inlineStr">
        <is>
          <t>Supervisório mostra leitura congelada do sensor de nível do tanque D-23.</t>
        </is>
      </c>
      <c r="D561" t="inlineStr">
        <is>
          <t>Subestação Leste</t>
        </is>
      </c>
      <c r="E561" t="inlineStr">
        <is>
          <t>Baixa</t>
        </is>
      </c>
      <c r="F561" t="inlineStr">
        <is>
          <t>Otávio Lacerda</t>
        </is>
      </c>
      <c r="G561" t="inlineStr">
        <is>
          <t>Fechada</t>
        </is>
      </c>
      <c r="H561" s="5" t="n">
        <v>45829.86805555555</v>
      </c>
    </row>
    <row r="562">
      <c r="A562" t="inlineStr">
        <is>
          <t>OS-2060</t>
        </is>
      </c>
      <c r="B562" t="inlineStr">
        <is>
          <t>Ar-condicionado da sala V-32 sem refrigerar</t>
        </is>
      </c>
      <c r="C562" t="inlineStr">
        <is>
          <t>Ar-condicionado da sala de painéis V-32 ligado sem refrigerar.</t>
        </is>
      </c>
      <c r="D562" t="inlineStr">
        <is>
          <t>Reservatório Santa Luzia</t>
        </is>
      </c>
      <c r="E562" t="inlineStr">
        <is>
          <t>Alta</t>
        </is>
      </c>
      <c r="F562" t="inlineStr">
        <is>
          <t>Érica Andrade</t>
        </is>
      </c>
      <c r="G562" t="inlineStr">
        <is>
          <t>Fechada</t>
        </is>
      </c>
      <c r="H562" s="5" t="n">
        <v>45830.17361111111</v>
      </c>
    </row>
    <row r="563">
      <c r="A563" t="inlineStr">
        <is>
          <t>OS-2061</t>
        </is>
      </c>
      <c r="B563" t="inlineStr">
        <is>
          <t>Disjuntor desarmando no painel F-01</t>
        </is>
      </c>
      <c r="C563" t="inlineStr">
        <is>
          <t>Disjuntor do painel F-01 desarmou três vezes no turno. Carga dentro do nominal.</t>
        </is>
      </c>
      <c r="D563" t="inlineStr">
        <is>
          <t>Estação Elevatória Porto</t>
        </is>
      </c>
      <c r="E563" t="inlineStr">
        <is>
          <t>Média</t>
        </is>
      </c>
      <c r="F563" t="inlineStr">
        <is>
          <t>Cíntia Freitas</t>
        </is>
      </c>
      <c r="G563" t="inlineStr">
        <is>
          <t>Fechada</t>
        </is>
      </c>
      <c r="H563" s="5" t="n">
        <v>45830.45833333334</v>
      </c>
    </row>
    <row r="564">
      <c r="A564" t="inlineStr">
        <is>
          <t>OS-2062</t>
        </is>
      </c>
      <c r="B564" t="inlineStr">
        <is>
          <t>Aquecimento no mancal do motor D-15</t>
        </is>
      </c>
      <c r="C564" t="inlineStr">
        <is>
          <t>Mancal do motor D-15 acima da temperatura usual na medição com termômetro infravermelho.</t>
        </is>
      </c>
      <c r="D564" t="inlineStr">
        <is>
          <t>ETE Vale do Sol</t>
        </is>
      </c>
      <c r="E564" t="inlineStr">
        <is>
          <t>Média</t>
        </is>
      </c>
      <c r="F564" t="inlineStr">
        <is>
          <t>Wesley Cardoso</t>
        </is>
      </c>
      <c r="G564" t="inlineStr">
        <is>
          <t>Fechada</t>
        </is>
      </c>
      <c r="H564" s="5" t="n">
        <v>45830.78194444445</v>
      </c>
    </row>
    <row r="565">
      <c r="A565" t="inlineStr">
        <is>
          <t>OS-2063</t>
        </is>
      </c>
      <c r="B565" t="inlineStr">
        <is>
          <t>Infiltração na parede da casa de bombas E-38</t>
        </is>
      </c>
      <c r="C565" t="inlineStr">
        <is>
          <t>Mancha de umidade crescente na parede da casa de bombas E-38.</t>
        </is>
      </c>
      <c r="D565" t="inlineStr">
        <is>
          <t>Galpão de Materiais</t>
        </is>
      </c>
      <c r="E565" t="inlineStr">
        <is>
          <t>Baixa</t>
        </is>
      </c>
      <c r="F565" t="inlineStr">
        <is>
          <t>Thiago Bastos</t>
        </is>
      </c>
      <c r="G565" t="inlineStr">
        <is>
          <t>Fechada</t>
        </is>
      </c>
      <c r="H565" s="5" t="n">
        <v>45831.09097222222</v>
      </c>
    </row>
    <row r="566">
      <c r="A566" t="inlineStr">
        <is>
          <t>OS-2064</t>
        </is>
      </c>
      <c r="B566" t="inlineStr">
        <is>
          <t>Falha de comunicação no CLP T-23</t>
        </is>
      </c>
      <c r="C566" t="inlineStr">
        <is>
          <t>CLP T-23 perde comunicação com o supervisório em intervalos irregulares.</t>
        </is>
      </c>
      <c r="D566" t="inlineStr">
        <is>
          <t>Estação Elevatória Oeste</t>
        </is>
      </c>
      <c r="E566" t="inlineStr">
        <is>
          <t>Baixa</t>
        </is>
      </c>
      <c r="F566" t="inlineStr">
        <is>
          <t>Murilo Paiva</t>
        </is>
      </c>
      <c r="G566" t="inlineStr">
        <is>
          <t>Fechada</t>
        </is>
      </c>
      <c r="H566" s="5" t="n">
        <v>45831.39652777778</v>
      </c>
    </row>
    <row r="567">
      <c r="A567" t="inlineStr">
        <is>
          <t>OS-2065</t>
        </is>
      </c>
      <c r="B567" t="inlineStr">
        <is>
          <t>Válvula R-21 não fecha por completo</t>
        </is>
      </c>
      <c r="C567" t="inlineStr">
        <is>
          <t>Válvula R-21 com passagem residual mesmo totalmente fechada. Possível desgaste da sede.</t>
        </is>
      </c>
      <c r="D567" t="inlineStr">
        <is>
          <t>Pátio de Veículos</t>
        </is>
      </c>
      <c r="E567" t="inlineStr">
        <is>
          <t>Média</t>
        </is>
      </c>
      <c r="F567" t="inlineStr">
        <is>
          <t>Murilo Paiva</t>
        </is>
      </c>
      <c r="G567" t="inlineStr">
        <is>
          <t>Fechada</t>
        </is>
      </c>
      <c r="H567" s="5" t="n">
        <v>45831.67916666667</v>
      </c>
    </row>
    <row r="568">
      <c r="A568" t="inlineStr">
        <is>
          <t>OS-2066</t>
        </is>
      </c>
      <c r="B568" t="inlineStr">
        <is>
          <t>Correia do ventilador D-02 desgastada</t>
        </is>
      </c>
      <c r="C568" t="inlineStr">
        <is>
          <t>Correia do ventilador D-02 com trincas visíveis e folga excessiva.</t>
        </is>
      </c>
      <c r="D568" t="inlineStr">
        <is>
          <t>Reservatório Alto da Colina</t>
        </is>
      </c>
      <c r="E568" t="inlineStr">
        <is>
          <t>Alta</t>
        </is>
      </c>
      <c r="F568" t="inlineStr">
        <is>
          <t>Murilo Paiva</t>
        </is>
      </c>
      <c r="G568" t="inlineStr">
        <is>
          <t>Fechada</t>
        </is>
      </c>
      <c r="H568" s="5" t="n">
        <v>45831.96944444445</v>
      </c>
    </row>
    <row r="569">
      <c r="A569" t="inlineStr">
        <is>
          <t>OS-2067</t>
        </is>
      </c>
      <c r="B569" t="inlineStr">
        <is>
          <t>Tomada sem energia na sala H-35</t>
        </is>
      </c>
      <c r="C569" t="inlineStr">
        <is>
          <t>Tomada de serviço da sala H-35 sem tensão.</t>
        </is>
      </c>
      <c r="D569" t="inlineStr">
        <is>
          <t>ETA Central</t>
        </is>
      </c>
      <c r="E569" t="inlineStr">
        <is>
          <t>Média</t>
        </is>
      </c>
      <c r="F569" t="inlineStr">
        <is>
          <t>Beatriz Farias</t>
        </is>
      </c>
      <c r="G569" t="inlineStr">
        <is>
          <t>Fechada</t>
        </is>
      </c>
      <c r="H569" s="5" t="n">
        <v>45832.30625</v>
      </c>
    </row>
    <row r="570">
      <c r="A570" t="inlineStr">
        <is>
          <t>OS-2068</t>
        </is>
      </c>
      <c r="B570" t="inlineStr">
        <is>
          <t>Ruído anormal no motor P-11</t>
        </is>
      </c>
      <c r="C570" t="inlineStr">
        <is>
          <t>Ruído intermitente no motor P-11 durante a partida. Temperatura normal ao toque.</t>
        </is>
      </c>
      <c r="D570" t="inlineStr">
        <is>
          <t>Subestação Leste</t>
        </is>
      </c>
      <c r="E570" t="inlineStr">
        <is>
          <t>Média</t>
        </is>
      </c>
      <c r="F570" t="inlineStr">
        <is>
          <t>Yara Medeiros</t>
        </is>
      </c>
      <c r="G570" t="inlineStr">
        <is>
          <t>Fechada</t>
        </is>
      </c>
      <c r="H570" s="5" t="n">
        <v>45832.59513888889</v>
      </c>
    </row>
    <row r="571">
      <c r="A571" t="inlineStr">
        <is>
          <t>OS-2069</t>
        </is>
      </c>
      <c r="B571" t="inlineStr">
        <is>
          <t>Calha entupida no prédio F-32</t>
        </is>
      </c>
      <c r="C571" t="inlineStr">
        <is>
          <t>Calha do prédio F-32 transbordando em dia de chuva.</t>
        </is>
      </c>
      <c r="D571" t="inlineStr">
        <is>
          <t>Base Operacional Sul</t>
        </is>
      </c>
      <c r="E571" t="inlineStr">
        <is>
          <t>Baixa</t>
        </is>
      </c>
      <c r="F571" t="inlineStr">
        <is>
          <t>Danilo Peixoto</t>
        </is>
      </c>
      <c r="G571" t="inlineStr">
        <is>
          <t>Fechada</t>
        </is>
      </c>
      <c r="H571" s="5" t="n">
        <v>45832.88958333333</v>
      </c>
    </row>
    <row r="572">
      <c r="A572" t="inlineStr">
        <is>
          <t>OS-2070</t>
        </is>
      </c>
      <c r="B572" t="inlineStr">
        <is>
          <t>Falha de comunicação no CLP H-20</t>
        </is>
      </c>
      <c r="C572" t="inlineStr">
        <is>
          <t>CLP H-20 perde comunicação com o supervisório em intervalos irregulares.</t>
        </is>
      </c>
      <c r="D572" t="inlineStr">
        <is>
          <t>Reservatório Industrial</t>
        </is>
      </c>
      <c r="E572" t="inlineStr">
        <is>
          <t>Baixa</t>
        </is>
      </c>
      <c r="F572" t="inlineStr">
        <is>
          <t>Érica Andrade</t>
        </is>
      </c>
      <c r="G572" t="inlineStr">
        <is>
          <t>Fechada</t>
        </is>
      </c>
      <c r="H572" s="5" t="n">
        <v>45833.21111111111</v>
      </c>
    </row>
    <row r="573">
      <c r="A573" t="inlineStr">
        <is>
          <t>OS-2071</t>
        </is>
      </c>
      <c r="B573" t="inlineStr">
        <is>
          <t>Lâmpada queimada na área P-39</t>
        </is>
      </c>
      <c r="C573" t="inlineStr">
        <is>
          <t>Iluminação da área P-39 sem funcionar. Reposição de lâmpada e conferência do reator.</t>
        </is>
      </c>
      <c r="D573" t="inlineStr">
        <is>
          <t>Captação Lagoa Seca</t>
        </is>
      </c>
      <c r="E573" t="inlineStr">
        <is>
          <t>Crítica</t>
        </is>
      </c>
      <c r="F573" t="inlineStr">
        <is>
          <t>Jonas Teles</t>
        </is>
      </c>
      <c r="G573" t="inlineStr">
        <is>
          <t>Fechada</t>
        </is>
      </c>
      <c r="H573" s="5" t="n">
        <v>45833.49513888889</v>
      </c>
    </row>
    <row r="574">
      <c r="A574" t="inlineStr">
        <is>
          <t>OS-2072</t>
        </is>
      </c>
      <c r="B574" t="inlineStr">
        <is>
          <t>Válvula V-12 não fecha por completo</t>
        </is>
      </c>
      <c r="C574" t="inlineStr">
        <is>
          <t>Válvula V-12 com passagem residual mesmo totalmente fechada. Possível desgaste da sede.</t>
        </is>
      </c>
      <c r="D574" t="inlineStr">
        <is>
          <t>Captação Rio Verde</t>
        </is>
      </c>
      <c r="E574" t="inlineStr">
        <is>
          <t>Média</t>
        </is>
      </c>
      <c r="F574" t="inlineStr">
        <is>
          <t>Natália Cordeiro</t>
        </is>
      </c>
      <c r="G574" t="inlineStr">
        <is>
          <t>Fechada</t>
        </is>
      </c>
      <c r="H574" s="5" t="n">
        <v>45833.81527777778</v>
      </c>
    </row>
    <row r="575">
      <c r="A575" t="inlineStr">
        <is>
          <t>OS-2073</t>
        </is>
      </c>
      <c r="B575" t="inlineStr">
        <is>
          <t>Ar-condicionado da sala A-15 sem refrigerar</t>
        </is>
      </c>
      <c r="C575" t="inlineStr">
        <is>
          <t>Ar-condicionado da sala de painéis A-15 ligado sem refrigerar.</t>
        </is>
      </c>
      <c r="D575" t="inlineStr">
        <is>
          <t>ETE Jardim Bela Vista</t>
        </is>
      </c>
      <c r="E575" t="inlineStr">
        <is>
          <t>Baixa</t>
        </is>
      </c>
      <c r="F575" t="inlineStr">
        <is>
          <t>Aline Rocha</t>
        </is>
      </c>
      <c r="G575" t="inlineStr">
        <is>
          <t>Fechada</t>
        </is>
      </c>
      <c r="H575" s="5" t="n">
        <v>45834.10625</v>
      </c>
    </row>
    <row r="576">
      <c r="A576" t="inlineStr">
        <is>
          <t>OS-2074</t>
        </is>
      </c>
      <c r="B576" t="inlineStr">
        <is>
          <t>Sensor de nível sem leitura no tanque C-05</t>
        </is>
      </c>
      <c r="C576" t="inlineStr">
        <is>
          <t>Supervisório mostra leitura congelada do sensor de nível do tanque C-05.</t>
        </is>
      </c>
      <c r="D576" t="inlineStr">
        <is>
          <t>Galpão de Materiais</t>
        </is>
      </c>
      <c r="E576" t="inlineStr">
        <is>
          <t>Média</t>
        </is>
      </c>
      <c r="F576" t="inlineStr">
        <is>
          <t>Yara Medeiros</t>
        </is>
      </c>
      <c r="G576" t="inlineStr">
        <is>
          <t>Fechada</t>
        </is>
      </c>
      <c r="H576" s="5" t="n">
        <v>45834.42152777778</v>
      </c>
    </row>
    <row r="577">
      <c r="A577" t="inlineStr">
        <is>
          <t>OS-2075</t>
        </is>
      </c>
      <c r="B577" t="inlineStr">
        <is>
          <t>Pintura descascada na estrutura T-40</t>
        </is>
      </c>
      <c r="C577" t="inlineStr">
        <is>
          <t>Estrutura metálica T-40 com pontos de corrosão sob a pintura.</t>
        </is>
      </c>
      <c r="D577" t="inlineStr">
        <is>
          <t>Usina Fotovoltaica Planalto</t>
        </is>
      </c>
      <c r="E577" t="inlineStr">
        <is>
          <t>Média</t>
        </is>
      </c>
      <c r="F577" t="inlineStr">
        <is>
          <t>Daniela Pires</t>
        </is>
      </c>
      <c r="G577" t="inlineStr">
        <is>
          <t>Fechada</t>
        </is>
      </c>
      <c r="H577" s="5" t="n">
        <v>45834.75138888889</v>
      </c>
    </row>
    <row r="578">
      <c r="A578" t="inlineStr">
        <is>
          <t>OS-2076</t>
        </is>
      </c>
      <c r="B578" t="inlineStr">
        <is>
          <t>Portão da área H-24 emperrado</t>
        </is>
      </c>
      <c r="C578" t="inlineStr">
        <is>
          <t>Portão de acesso da área H-24 exige força excessiva para abrir.</t>
        </is>
      </c>
      <c r="D578" t="inlineStr">
        <is>
          <t>Subestação Oeste</t>
        </is>
      </c>
      <c r="E578" t="inlineStr">
        <is>
          <t>Média</t>
        </is>
      </c>
      <c r="F578" t="inlineStr">
        <is>
          <t>Aline Rocha</t>
        </is>
      </c>
      <c r="G578" t="inlineStr">
        <is>
          <t>Fechada</t>
        </is>
      </c>
      <c r="H578" s="5" t="n">
        <v>45835.03402777778</v>
      </c>
    </row>
    <row r="579">
      <c r="A579" t="inlineStr">
        <is>
          <t>OS-2077</t>
        </is>
      </c>
      <c r="B579" t="inlineStr">
        <is>
          <t>Calha entupida no prédio T-32</t>
        </is>
      </c>
      <c r="C579" t="inlineStr">
        <is>
          <t>Calha do prédio T-32 transbordando em dia de chuva.</t>
        </is>
      </c>
      <c r="D579" t="inlineStr">
        <is>
          <t>Galpão de Materiais</t>
        </is>
      </c>
      <c r="E579" t="inlineStr">
        <is>
          <t>Alta</t>
        </is>
      </c>
      <c r="F579" t="inlineStr">
        <is>
          <t>Lívia Montenegro</t>
        </is>
      </c>
      <c r="G579" t="inlineStr">
        <is>
          <t>Fechada</t>
        </is>
      </c>
      <c r="H579" s="5" t="n">
        <v>45835.35208333333</v>
      </c>
    </row>
    <row r="580">
      <c r="A580" t="inlineStr">
        <is>
          <t>OS-2078</t>
        </is>
      </c>
      <c r="B580" t="inlineStr">
        <is>
          <t>Troca de filtro do compressor F-22</t>
        </is>
      </c>
      <c r="C580" t="inlineStr">
        <is>
          <t>Filtro de ar do compressor F-22 saturado. Substituição preventiva.</t>
        </is>
      </c>
      <c r="D580" t="inlineStr">
        <is>
          <t>Estação de Bombeamento Três Pontes</t>
        </is>
      </c>
      <c r="E580" t="inlineStr">
        <is>
          <t>Média</t>
        </is>
      </c>
      <c r="F580" t="inlineStr">
        <is>
          <t>Aline Rocha</t>
        </is>
      </c>
      <c r="G580" t="inlineStr">
        <is>
          <t>Fechada</t>
        </is>
      </c>
      <c r="H580" s="5" t="n">
        <v>45835.64166666667</v>
      </c>
    </row>
    <row r="581">
      <c r="A581" t="inlineStr">
        <is>
          <t>OS-2079</t>
        </is>
      </c>
      <c r="B581" t="inlineStr">
        <is>
          <t>Portão da área M-32 emperrado</t>
        </is>
      </c>
      <c r="C581" t="inlineStr">
        <is>
          <t>Portão de acesso da área M-32 exige força excessiva para abrir.</t>
        </is>
      </c>
      <c r="D581" t="inlineStr">
        <is>
          <t>Torre de Telecomunicação Morro Alto</t>
        </is>
      </c>
      <c r="E581" t="inlineStr">
        <is>
          <t>Média</t>
        </is>
      </c>
      <c r="F581" t="inlineStr">
        <is>
          <t>Larissa Bezerra</t>
        </is>
      </c>
      <c r="G581" t="inlineStr">
        <is>
          <t>Fechada</t>
        </is>
      </c>
      <c r="H581" s="5" t="n">
        <v>45835.94444444445</v>
      </c>
    </row>
    <row r="582">
      <c r="A582" t="inlineStr">
        <is>
          <t>OS-2080</t>
        </is>
      </c>
      <c r="B582" t="inlineStr">
        <is>
          <t>Vazamento na bomba V-26</t>
        </is>
      </c>
      <c r="C582" t="inlineStr">
        <is>
          <t>Vazamento pelo selo mecânico da bomba V-26. Piso molhado ao redor da base.</t>
        </is>
      </c>
      <c r="D582" t="inlineStr">
        <is>
          <t>Reservatório Industrial</t>
        </is>
      </c>
      <c r="E582" t="inlineStr">
        <is>
          <t>Alta</t>
        </is>
      </c>
      <c r="F582" t="inlineStr">
        <is>
          <t>Lívia Montenegro</t>
        </is>
      </c>
      <c r="G582" t="inlineStr">
        <is>
          <t>Fechada</t>
        </is>
      </c>
      <c r="H582" s="5" t="n">
        <v>45836.26805555556</v>
      </c>
    </row>
    <row r="583">
      <c r="A583" t="inlineStr">
        <is>
          <t>OS-2081</t>
        </is>
      </c>
      <c r="B583" t="inlineStr">
        <is>
          <t>Infiltração na parede da casa de bombas C-19</t>
        </is>
      </c>
      <c r="C583" t="inlineStr">
        <is>
          <t>Mancha de umidade crescente na parede da casa de bombas C-19.</t>
        </is>
      </c>
      <c r="D583" t="inlineStr">
        <is>
          <t>Subestação Sul</t>
        </is>
      </c>
      <c r="E583" t="inlineStr">
        <is>
          <t>Crítica</t>
        </is>
      </c>
      <c r="F583" t="inlineStr">
        <is>
          <t>Gabriel Matos</t>
        </is>
      </c>
      <c r="G583" t="inlineStr">
        <is>
          <t>Fechada</t>
        </is>
      </c>
      <c r="H583" s="5" t="n">
        <v>45836.54722222222</v>
      </c>
    </row>
    <row r="584">
      <c r="A584" t="inlineStr">
        <is>
          <t>OS-2082</t>
        </is>
      </c>
      <c r="B584" t="inlineStr">
        <is>
          <t>Falha de comunicação no CLP D-20</t>
        </is>
      </c>
      <c r="C584" t="inlineStr">
        <is>
          <t>CLP D-20 perde comunicação com o supervisório em intervalos irregulares.</t>
        </is>
      </c>
      <c r="D584" t="inlineStr">
        <is>
          <t>ETA Serra Azul</t>
        </is>
      </c>
      <c r="E584" t="inlineStr">
        <is>
          <t>Média</t>
        </is>
      </c>
      <c r="F584" t="inlineStr">
        <is>
          <t>Ingrid Queiroz</t>
        </is>
      </c>
      <c r="G584" t="inlineStr">
        <is>
          <t>Fechada</t>
        </is>
      </c>
      <c r="H584" s="5" t="n">
        <v>45836.85347222222</v>
      </c>
    </row>
    <row r="585">
      <c r="A585" t="inlineStr">
        <is>
          <t>OS-2083</t>
        </is>
      </c>
      <c r="B585" t="inlineStr">
        <is>
          <t>Vazamento na bomba V-20</t>
        </is>
      </c>
      <c r="C585" t="inlineStr">
        <is>
          <t>Vazamento pelo selo mecânico da bomba V-20. Piso molhado ao redor da base.</t>
        </is>
      </c>
      <c r="D585" t="inlineStr">
        <is>
          <t>ETE Jardim Bela Vista</t>
        </is>
      </c>
      <c r="E585" t="inlineStr">
        <is>
          <t>Média</t>
        </is>
      </c>
      <c r="F585" t="inlineStr">
        <is>
          <t>Gabriel Matos</t>
        </is>
      </c>
      <c r="G585" t="inlineStr">
        <is>
          <t>Fechada</t>
        </is>
      </c>
      <c r="H585" s="5" t="n">
        <v>45837.18611111111</v>
      </c>
    </row>
    <row r="586">
      <c r="A586" t="inlineStr">
        <is>
          <t>OS-2084</t>
        </is>
      </c>
      <c r="B586" t="inlineStr">
        <is>
          <t>Falha de comunicação no CLP H-10</t>
        </is>
      </c>
      <c r="C586" t="inlineStr">
        <is>
          <t>CLP H-10 perde comunicação com o supervisório em intervalos irregulares.</t>
        </is>
      </c>
      <c r="D586" t="inlineStr">
        <is>
          <t>Subestação Sul</t>
        </is>
      </c>
      <c r="E586" t="inlineStr">
        <is>
          <t>Baixa</t>
        </is>
      </c>
      <c r="F586" t="inlineStr">
        <is>
          <t>Hugo Albuquerque</t>
        </is>
      </c>
      <c r="G586" t="inlineStr">
        <is>
          <t>Fechada</t>
        </is>
      </c>
      <c r="H586" s="5" t="n">
        <v>45837.48958333334</v>
      </c>
    </row>
    <row r="587">
      <c r="A587" t="inlineStr">
        <is>
          <t>OS-2085</t>
        </is>
      </c>
      <c r="B587" t="inlineStr">
        <is>
          <t>Troca de filtro do compressor E-22</t>
        </is>
      </c>
      <c r="C587" t="inlineStr">
        <is>
          <t>Filtro de ar do compressor E-22 saturado. Substituição preventiva.</t>
        </is>
      </c>
      <c r="D587" t="inlineStr">
        <is>
          <t>Estação de Bombeamento Três Pontes</t>
        </is>
      </c>
      <c r="E587" t="inlineStr">
        <is>
          <t>Baixa</t>
        </is>
      </c>
      <c r="F587" t="inlineStr">
        <is>
          <t>Aline Rocha</t>
        </is>
      </c>
      <c r="G587" t="inlineStr">
        <is>
          <t>Fechada</t>
        </is>
      </c>
      <c r="H587" s="5" t="n">
        <v>45837.77847222222</v>
      </c>
    </row>
    <row r="588">
      <c r="A588" t="inlineStr">
        <is>
          <t>OS-2086</t>
        </is>
      </c>
      <c r="B588" t="inlineStr">
        <is>
          <t>Sensor de nível sem leitura no tanque H-21</t>
        </is>
      </c>
      <c r="C588" t="inlineStr">
        <is>
          <t>Supervisório mostra leitura congelada do sensor de nível do tanque H-21.</t>
        </is>
      </c>
      <c r="D588" t="inlineStr">
        <is>
          <t>Oficina Elétrica Central</t>
        </is>
      </c>
      <c r="E588" t="inlineStr">
        <is>
          <t>Baixa</t>
        </is>
      </c>
      <c r="F588" t="inlineStr">
        <is>
          <t>Simone Carvalho</t>
        </is>
      </c>
      <c r="G588" t="inlineStr">
        <is>
          <t>Fechada</t>
        </is>
      </c>
      <c r="H588" s="5" t="n">
        <v>45838.10694444444</v>
      </c>
    </row>
    <row r="589">
      <c r="A589" t="inlineStr">
        <is>
          <t>OS-2087</t>
        </is>
      </c>
      <c r="B589" t="inlineStr">
        <is>
          <t>Aquecimento no mancal do motor R-06</t>
        </is>
      </c>
      <c r="C589" t="inlineStr">
        <is>
          <t>Mancal do motor R-06 acima da temperatura usual na medição com termômetro infravermelho.</t>
        </is>
      </c>
      <c r="D589" t="inlineStr">
        <is>
          <t>Estação Elevatória Porto</t>
        </is>
      </c>
      <c r="E589" t="inlineStr">
        <is>
          <t>Crítica</t>
        </is>
      </c>
      <c r="F589" t="inlineStr">
        <is>
          <t>Heloísa Barreto</t>
        </is>
      </c>
      <c r="G589" t="inlineStr">
        <is>
          <t>Fechada</t>
        </is>
      </c>
      <c r="H589" s="5" t="n">
        <v>45838.37777777778</v>
      </c>
    </row>
    <row r="590">
      <c r="A590" t="inlineStr">
        <is>
          <t>OS-2088</t>
        </is>
      </c>
      <c r="B590" t="inlineStr">
        <is>
          <t>Lâmpada queimada na área H-10</t>
        </is>
      </c>
      <c r="C590" t="inlineStr">
        <is>
          <t>Iluminação da área H-10 sem funcionar. Reposição de lâmpada e conferência do reator.</t>
        </is>
      </c>
      <c r="D590" t="inlineStr">
        <is>
          <t>ETA Central</t>
        </is>
      </c>
      <c r="E590" t="inlineStr">
        <is>
          <t>Alta</t>
        </is>
      </c>
      <c r="F590" t="inlineStr">
        <is>
          <t>Vagner Pacheco</t>
        </is>
      </c>
      <c r="G590" t="inlineStr">
        <is>
          <t>Fechada</t>
        </is>
      </c>
      <c r="H590" s="5" t="n">
        <v>45838.69861111111</v>
      </c>
    </row>
    <row r="591">
      <c r="A591" t="inlineStr">
        <is>
          <t>OS-2089</t>
        </is>
      </c>
      <c r="B591" t="inlineStr">
        <is>
          <t>Sensor de nível sem leitura no tanque R-29</t>
        </is>
      </c>
      <c r="C591" t="inlineStr">
        <is>
          <t>Supervisório mostra leitura congelada do sensor de nível do tanque R-29.</t>
        </is>
      </c>
      <c r="D591" t="inlineStr">
        <is>
          <t>Booster Parque das Águas</t>
        </is>
      </c>
      <c r="E591" t="inlineStr">
        <is>
          <t>Média</t>
        </is>
      </c>
      <c r="F591" t="inlineStr">
        <is>
          <t>Wesley Cardoso</t>
        </is>
      </c>
      <c r="G591" t="inlineStr">
        <is>
          <t>Fechada</t>
        </is>
      </c>
      <c r="H591" s="5" t="n">
        <v>45839.00208333333</v>
      </c>
    </row>
    <row r="592">
      <c r="A592" t="inlineStr">
        <is>
          <t>OS-2090</t>
        </is>
      </c>
      <c r="B592" t="inlineStr">
        <is>
          <t>Válvula D-05 não fecha por completo</t>
        </is>
      </c>
      <c r="C592" t="inlineStr">
        <is>
          <t>Válvula D-05 com passagem residual mesmo totalmente fechada. Possível desgaste da sede.</t>
        </is>
      </c>
      <c r="D592" t="inlineStr">
        <is>
          <t>Laboratório de Controle</t>
        </is>
      </c>
      <c r="E592" t="inlineStr">
        <is>
          <t>Alta</t>
        </is>
      </c>
      <c r="F592" t="inlineStr">
        <is>
          <t>Rafael Torres</t>
        </is>
      </c>
      <c r="G592" t="inlineStr">
        <is>
          <t>Fechada</t>
        </is>
      </c>
      <c r="H592" s="5" t="n">
        <v>45839.31180555555</v>
      </c>
    </row>
    <row r="593">
      <c r="A593" t="inlineStr">
        <is>
          <t>OS-2091</t>
        </is>
      </c>
      <c r="B593" t="inlineStr">
        <is>
          <t>Medidor de vazão E-16 com leitura instável</t>
        </is>
      </c>
      <c r="C593" t="inlineStr">
        <is>
          <t>Medidor de vazão E-16 oscila sem variação de processo.</t>
        </is>
      </c>
      <c r="D593" t="inlineStr">
        <is>
          <t>Reservatório Industrial</t>
        </is>
      </c>
      <c r="E593" t="inlineStr">
        <is>
          <t>Crítica</t>
        </is>
      </c>
      <c r="F593" t="inlineStr">
        <is>
          <t>Vagner Pacheco</t>
        </is>
      </c>
      <c r="G593" t="inlineStr">
        <is>
          <t>Fechada</t>
        </is>
      </c>
      <c r="H593" s="5" t="n">
        <v>45839.63472222222</v>
      </c>
    </row>
    <row r="594">
      <c r="A594" t="inlineStr">
        <is>
          <t>OS-2092</t>
        </is>
      </c>
      <c r="B594" t="inlineStr">
        <is>
          <t>Vazamento na bomba P-30</t>
        </is>
      </c>
      <c r="C594" t="inlineStr">
        <is>
          <t>Vazamento pelo selo mecânico da bomba P-30. Piso molhado ao redor da base.</t>
        </is>
      </c>
      <c r="D594" t="inlineStr">
        <is>
          <t>ETE Vale do Sol</t>
        </is>
      </c>
      <c r="E594" t="inlineStr">
        <is>
          <t>Média</t>
        </is>
      </c>
      <c r="F594" t="inlineStr">
        <is>
          <t>Cíntia Freitas</t>
        </is>
      </c>
      <c r="G594" t="inlineStr">
        <is>
          <t>Fechada</t>
        </is>
      </c>
      <c r="H594" s="5" t="n">
        <v>45839.91597222222</v>
      </c>
    </row>
    <row r="595">
      <c r="A595" t="inlineStr">
        <is>
          <t>OS-2093</t>
        </is>
      </c>
      <c r="B595" t="inlineStr">
        <is>
          <t>Ruído anormal no motor D-14</t>
        </is>
      </c>
      <c r="C595" t="inlineStr">
        <is>
          <t>Ruído intermitente no motor D-14 durante a partida. Temperatura normal ao toque.</t>
        </is>
      </c>
      <c r="D595" t="inlineStr">
        <is>
          <t>ETA Ribeirão Fundo</t>
        </is>
      </c>
      <c r="E595" t="inlineStr">
        <is>
          <t>Baixa</t>
        </is>
      </c>
      <c r="F595" t="inlineStr">
        <is>
          <t>Flávio Gusmão</t>
        </is>
      </c>
      <c r="G595" t="inlineStr">
        <is>
          <t>Fechada</t>
        </is>
      </c>
      <c r="H595" s="5" t="n">
        <v>45840.23541666667</v>
      </c>
    </row>
    <row r="596">
      <c r="A596" t="inlineStr">
        <is>
          <t>OS-2094</t>
        </is>
      </c>
      <c r="B596" t="inlineStr">
        <is>
          <t>Sensor de nível sem leitura no tanque C-26</t>
        </is>
      </c>
      <c r="C596" t="inlineStr">
        <is>
          <t>Supervisório mostra leitura congelada do sensor de nível do tanque C-26.</t>
        </is>
      </c>
      <c r="D596" t="inlineStr">
        <is>
          <t>ETE Jardim Bela Vista</t>
        </is>
      </c>
      <c r="E596" t="inlineStr">
        <is>
          <t>Baixa</t>
        </is>
      </c>
      <c r="F596" t="inlineStr">
        <is>
          <t>Lívia Montenegro</t>
        </is>
      </c>
      <c r="G596" t="inlineStr">
        <is>
          <t>Fechada</t>
        </is>
      </c>
      <c r="H596" s="5" t="n">
        <v>45840.54930555556</v>
      </c>
    </row>
    <row r="597">
      <c r="A597" t="inlineStr">
        <is>
          <t>OS-2095</t>
        </is>
      </c>
      <c r="B597" t="inlineStr">
        <is>
          <t>Medidor de vazão E-37 com leitura instável</t>
        </is>
      </c>
      <c r="C597" t="inlineStr">
        <is>
          <t>Medidor de vazão E-37 oscila sem variação de processo.</t>
        </is>
      </c>
      <c r="D597" t="inlineStr">
        <is>
          <t>Estação Elevatória Leste</t>
        </is>
      </c>
      <c r="E597" t="inlineStr">
        <is>
          <t>Baixa</t>
        </is>
      </c>
      <c r="F597" t="inlineStr">
        <is>
          <t>Igor Fonseca</t>
        </is>
      </c>
      <c r="G597" t="inlineStr">
        <is>
          <t>Fechada</t>
        </is>
      </c>
      <c r="H597" s="5" t="n">
        <v>45840.84166666667</v>
      </c>
    </row>
    <row r="598">
      <c r="A598" t="inlineStr">
        <is>
          <t>OS-2096</t>
        </is>
      </c>
      <c r="B598" t="inlineStr">
        <is>
          <t>Bomba dosadora E-23 sem recalque</t>
        </is>
      </c>
      <c r="C598" t="inlineStr">
        <is>
          <t>Bomba dosadora E-23 liga mas não dosa. Mangueira sem obstrução aparente.</t>
        </is>
      </c>
      <c r="D598" t="inlineStr">
        <is>
          <t>ETE Vale do Sol</t>
        </is>
      </c>
      <c r="E598" t="inlineStr">
        <is>
          <t>Crítica</t>
        </is>
      </c>
      <c r="F598" t="inlineStr">
        <is>
          <t>Fernanda Quintela</t>
        </is>
      </c>
      <c r="G598" t="inlineStr">
        <is>
          <t>Fechada</t>
        </is>
      </c>
      <c r="H598" s="5" t="n">
        <v>45841.15</v>
      </c>
    </row>
    <row r="599">
      <c r="A599" t="inlineStr">
        <is>
          <t>OS-2097</t>
        </is>
      </c>
      <c r="B599" t="inlineStr">
        <is>
          <t>Sensor de nível sem leitura no tanque P-40</t>
        </is>
      </c>
      <c r="C599" t="inlineStr">
        <is>
          <t>Supervisório mostra leitura congelada do sensor de nível do tanque P-40.</t>
        </is>
      </c>
      <c r="D599" t="inlineStr">
        <is>
          <t>Laboratório de Controle</t>
        </is>
      </c>
      <c r="E599" t="inlineStr">
        <is>
          <t>Média</t>
        </is>
      </c>
      <c r="F599" t="inlineStr">
        <is>
          <t>Hugo Albuquerque</t>
        </is>
      </c>
      <c r="G599" t="inlineStr">
        <is>
          <t>Fechada</t>
        </is>
      </c>
      <c r="H599" s="5" t="n">
        <v>45841.46736111111</v>
      </c>
    </row>
    <row r="600">
      <c r="A600" t="inlineStr">
        <is>
          <t>OS-2098</t>
        </is>
      </c>
      <c r="B600" t="inlineStr">
        <is>
          <t>Exaustor V-35 parado</t>
        </is>
      </c>
      <c r="C600" t="inlineStr">
        <is>
          <t>Exaustor V-35 não parte. Fusível íntegro.</t>
        </is>
      </c>
      <c r="D600" t="inlineStr">
        <is>
          <t>ETE Vale do Sol</t>
        </is>
      </c>
      <c r="E600" t="inlineStr">
        <is>
          <t>Baixa</t>
        </is>
      </c>
      <c r="F600" t="inlineStr">
        <is>
          <t>Fernanda Quintela</t>
        </is>
      </c>
      <c r="G600" t="inlineStr">
        <is>
          <t>Fechada</t>
        </is>
      </c>
      <c r="H600" s="5" t="n">
        <v>45841.75208333333</v>
      </c>
    </row>
    <row r="601">
      <c r="A601" t="inlineStr">
        <is>
          <t>OS-2099</t>
        </is>
      </c>
      <c r="B601" t="inlineStr">
        <is>
          <t>Pintura descascada na estrutura H-38</t>
        </is>
      </c>
      <c r="C601" t="inlineStr">
        <is>
          <t>Estrutura metálica H-38 com pontos de corrosão sob a pintura.</t>
        </is>
      </c>
      <c r="D601" t="inlineStr">
        <is>
          <t>ETA Serra Azul</t>
        </is>
      </c>
      <c r="E601" t="inlineStr">
        <is>
          <t>Baixa</t>
        </is>
      </c>
      <c r="F601" t="inlineStr">
        <is>
          <t>Zeca Moraes</t>
        </is>
      </c>
      <c r="G601" t="inlineStr">
        <is>
          <t>Fechada</t>
        </is>
      </c>
      <c r="H601" s="5" t="n">
        <v>45842.05486111111</v>
      </c>
    </row>
    <row r="602">
      <c r="A602" t="inlineStr">
        <is>
          <t>OS-2100</t>
        </is>
      </c>
      <c r="B602" t="inlineStr">
        <is>
          <t>Calha entupida no prédio G-39</t>
        </is>
      </c>
      <c r="C602" t="inlineStr">
        <is>
          <t>Calha do prédio G-39 transbordando em dia de chuva.</t>
        </is>
      </c>
      <c r="D602" t="inlineStr">
        <is>
          <t>Subestação Oeste</t>
        </is>
      </c>
      <c r="E602" t="inlineStr">
        <is>
          <t>Alta</t>
        </is>
      </c>
      <c r="F602" t="inlineStr">
        <is>
          <t>Érica Andrade</t>
        </is>
      </c>
      <c r="G602" t="inlineStr">
        <is>
          <t>Fechada</t>
        </is>
      </c>
      <c r="H602" s="5" t="n">
        <v>45842.36875</v>
      </c>
    </row>
    <row r="603">
      <c r="A603" t="inlineStr">
        <is>
          <t>OS-2101</t>
        </is>
      </c>
      <c r="B603" t="inlineStr">
        <is>
          <t>Falha de comunicação no CLP M-12</t>
        </is>
      </c>
      <c r="C603" t="inlineStr">
        <is>
          <t>CLP M-12 perde comunicação com o supervisório em intervalos irregulares.</t>
        </is>
      </c>
      <c r="D603" t="inlineStr">
        <is>
          <t>Subestação Norte</t>
        </is>
      </c>
      <c r="E603" t="inlineStr">
        <is>
          <t>Alta</t>
        </is>
      </c>
      <c r="F603" t="inlineStr">
        <is>
          <t>Lívia Montenegro</t>
        </is>
      </c>
      <c r="G603" t="inlineStr">
        <is>
          <t>Fechada</t>
        </is>
      </c>
      <c r="H603" s="5" t="n">
        <v>45842.64722222222</v>
      </c>
    </row>
    <row r="604">
      <c r="A604" t="inlineStr">
        <is>
          <t>OS-2102</t>
        </is>
      </c>
      <c r="B604" t="inlineStr">
        <is>
          <t>Vazamento na bomba M-07</t>
        </is>
      </c>
      <c r="C604" t="inlineStr">
        <is>
          <t>Vazamento pelo selo mecânico da bomba M-07. Piso molhado ao redor da base.</t>
        </is>
      </c>
      <c r="D604" t="inlineStr">
        <is>
          <t>Base Operacional Norte</t>
        </is>
      </c>
      <c r="E604" t="inlineStr">
        <is>
          <t>Baixa</t>
        </is>
      </c>
      <c r="F604" t="inlineStr">
        <is>
          <t>Caio Rangel</t>
        </is>
      </c>
      <c r="G604" t="inlineStr">
        <is>
          <t>Fechada</t>
        </is>
      </c>
      <c r="H604" s="5" t="n">
        <v>45842.95763888889</v>
      </c>
    </row>
    <row r="605">
      <c r="A605" t="inlineStr">
        <is>
          <t>OS-2103</t>
        </is>
      </c>
      <c r="B605" t="inlineStr">
        <is>
          <t>Ruído anormal no motor D-39</t>
        </is>
      </c>
      <c r="C605" t="inlineStr">
        <is>
          <t>Ruído intermitente no motor D-39 durante a partida. Temperatura normal ao toque.</t>
        </is>
      </c>
      <c r="D605" t="inlineStr">
        <is>
          <t>Subestação Oeste</t>
        </is>
      </c>
      <c r="E605" t="inlineStr">
        <is>
          <t>Média</t>
        </is>
      </c>
      <c r="F605" t="inlineStr">
        <is>
          <t>Danilo Peixoto</t>
        </is>
      </c>
      <c r="G605" t="inlineStr">
        <is>
          <t>Fechada</t>
        </is>
      </c>
      <c r="H605" s="5" t="n">
        <v>45843.29722222222</v>
      </c>
    </row>
    <row r="606">
      <c r="A606" t="inlineStr">
        <is>
          <t>OS-2104</t>
        </is>
      </c>
      <c r="B606" t="inlineStr">
        <is>
          <t>Vazamento na bomba D-26</t>
        </is>
      </c>
      <c r="C606" t="inlineStr">
        <is>
          <t>Vazamento pelo selo mecânico da bomba D-26. Piso molhado ao redor da base.</t>
        </is>
      </c>
      <c r="D606" t="inlineStr">
        <is>
          <t>Adutora Tronco Sul</t>
        </is>
      </c>
      <c r="E606" t="inlineStr">
        <is>
          <t>Baixa</t>
        </is>
      </c>
      <c r="F606" t="inlineStr">
        <is>
          <t>Juliana Aguiar</t>
        </is>
      </c>
      <c r="G606" t="inlineStr">
        <is>
          <t>Fechada</t>
        </is>
      </c>
      <c r="H606" s="5" t="n">
        <v>45843.60347222222</v>
      </c>
    </row>
    <row r="607">
      <c r="A607" t="inlineStr">
        <is>
          <t>OS-2105</t>
        </is>
      </c>
      <c r="B607" t="inlineStr">
        <is>
          <t>Exaustor T-11 parado</t>
        </is>
      </c>
      <c r="C607" t="inlineStr">
        <is>
          <t>Exaustor T-11 não parte. Fusível íntegro.</t>
        </is>
      </c>
      <c r="D607" t="inlineStr">
        <is>
          <t>Reservatório Santa Luzia</t>
        </is>
      </c>
      <c r="E607" t="inlineStr">
        <is>
          <t>Alta</t>
        </is>
      </c>
      <c r="F607" t="inlineStr">
        <is>
          <t>Cíntia Freitas</t>
        </is>
      </c>
      <c r="G607" t="inlineStr">
        <is>
          <t>Fechada</t>
        </is>
      </c>
      <c r="H607" s="5" t="n">
        <v>45843.90069444444</v>
      </c>
    </row>
    <row r="608">
      <c r="A608" t="inlineStr">
        <is>
          <t>OS-2106</t>
        </is>
      </c>
      <c r="B608" t="inlineStr">
        <is>
          <t>Tomada sem energia na sala F-34</t>
        </is>
      </c>
      <c r="C608" t="inlineStr">
        <is>
          <t>Tomada de serviço da sala F-34 sem tensão.</t>
        </is>
      </c>
      <c r="D608" t="inlineStr">
        <is>
          <t>Reservatório Alto da Colina</t>
        </is>
      </c>
      <c r="E608" t="inlineStr">
        <is>
          <t>Baixa</t>
        </is>
      </c>
      <c r="F608" t="inlineStr">
        <is>
          <t>Gabriel Matos</t>
        </is>
      </c>
      <c r="G608" t="inlineStr">
        <is>
          <t>Fechada</t>
        </is>
      </c>
      <c r="H608" s="5" t="n">
        <v>45844.19027777778</v>
      </c>
    </row>
    <row r="609">
      <c r="A609" t="inlineStr">
        <is>
          <t>OS-2107</t>
        </is>
      </c>
      <c r="B609" t="inlineStr">
        <is>
          <t>Sensor de nível sem leitura no tanque E-09</t>
        </is>
      </c>
      <c r="C609" t="inlineStr">
        <is>
          <t>Supervisório mostra leitura congelada do sensor de nível do tanque E-09.</t>
        </is>
      </c>
      <c r="D609" t="inlineStr">
        <is>
          <t>Booster Morada do Sol</t>
        </is>
      </c>
      <c r="E609" t="inlineStr">
        <is>
          <t>Média</t>
        </is>
      </c>
      <c r="F609" t="inlineStr">
        <is>
          <t>Ingrid Queiroz</t>
        </is>
      </c>
      <c r="G609" t="inlineStr">
        <is>
          <t>Fechada</t>
        </is>
      </c>
      <c r="H609" s="5" t="n">
        <v>45844.51944444444</v>
      </c>
    </row>
    <row r="610">
      <c r="A610" t="inlineStr">
        <is>
          <t>OS-2108</t>
        </is>
      </c>
      <c r="B610" t="inlineStr">
        <is>
          <t>Vazamento na bomba M-24</t>
        </is>
      </c>
      <c r="C610" t="inlineStr">
        <is>
          <t>Vazamento pelo selo mecânico da bomba M-24. Piso molhado ao redor da base.</t>
        </is>
      </c>
      <c r="D610" t="inlineStr">
        <is>
          <t>Laboratório de Controle</t>
        </is>
      </c>
      <c r="E610" t="inlineStr">
        <is>
          <t>Baixa</t>
        </is>
      </c>
      <c r="F610" t="inlineStr">
        <is>
          <t>Úrsula Maia</t>
        </is>
      </c>
      <c r="G610" t="inlineStr">
        <is>
          <t>Fechada</t>
        </is>
      </c>
      <c r="H610" s="5" t="n">
        <v>45844.79722222222</v>
      </c>
    </row>
    <row r="611">
      <c r="A611" t="inlineStr">
        <is>
          <t>OS-2109</t>
        </is>
      </c>
      <c r="B611" t="inlineStr">
        <is>
          <t>Lâmpada queimada na área G-28</t>
        </is>
      </c>
      <c r="C611" t="inlineStr">
        <is>
          <t>Iluminação da área G-28 sem funcionar. Reposição de lâmpada e conferência do reator.</t>
        </is>
      </c>
      <c r="D611" t="inlineStr">
        <is>
          <t>Base Operacional Serra</t>
        </is>
      </c>
      <c r="E611" t="inlineStr">
        <is>
          <t>Alta</t>
        </is>
      </c>
      <c r="F611" t="inlineStr">
        <is>
          <t>Caio Rangel</t>
        </is>
      </c>
      <c r="G611" t="inlineStr">
        <is>
          <t>Fechada</t>
        </is>
      </c>
      <c r="H611" s="5" t="n">
        <v>45845.09375</v>
      </c>
    </row>
    <row r="612">
      <c r="A612" t="inlineStr">
        <is>
          <t>OS-2110</t>
        </is>
      </c>
      <c r="B612" t="inlineStr">
        <is>
          <t>Sensor de nível sem leitura no tanque A-35</t>
        </is>
      </c>
      <c r="C612" t="inlineStr">
        <is>
          <t>Supervisório mostra leitura congelada do sensor de nível do tanque A-35.</t>
        </is>
      </c>
      <c r="D612" t="inlineStr">
        <is>
          <t>Reservatório Industrial</t>
        </is>
      </c>
      <c r="E612" t="inlineStr">
        <is>
          <t>Média</t>
        </is>
      </c>
      <c r="F612" t="inlineStr">
        <is>
          <t>Eduardo Salles</t>
        </is>
      </c>
      <c r="G612" t="inlineStr">
        <is>
          <t>Fechada</t>
        </is>
      </c>
      <c r="H612" s="5" t="n">
        <v>45845.4125</v>
      </c>
    </row>
    <row r="613">
      <c r="A613" t="inlineStr">
        <is>
          <t>OS-2111</t>
        </is>
      </c>
      <c r="B613" t="inlineStr">
        <is>
          <t>Falha de comunicação no CLP V-15</t>
        </is>
      </c>
      <c r="C613" t="inlineStr">
        <is>
          <t>CLP V-15 perde comunicação com o supervisório em intervalos irregulares.</t>
        </is>
      </c>
      <c r="D613" t="inlineStr">
        <is>
          <t>ETE Rio Claro</t>
        </is>
      </c>
      <c r="E613" t="inlineStr">
        <is>
          <t>Média</t>
        </is>
      </c>
      <c r="F613" t="inlineStr">
        <is>
          <t>Eduardo Salles</t>
        </is>
      </c>
      <c r="G613" t="inlineStr">
        <is>
          <t>Fechada</t>
        </is>
      </c>
      <c r="H613" s="5" t="n">
        <v>45845.7125</v>
      </c>
    </row>
    <row r="614">
      <c r="A614" t="inlineStr">
        <is>
          <t>OS-2112</t>
        </is>
      </c>
      <c r="B614" t="inlineStr">
        <is>
          <t>Pintura descascada na estrutura P-19</t>
        </is>
      </c>
      <c r="C614" t="inlineStr">
        <is>
          <t>Estrutura metálica P-19 com pontos de corrosão sob a pintura.</t>
        </is>
      </c>
      <c r="D614" t="inlineStr">
        <is>
          <t>Subestação Oeste</t>
        </is>
      </c>
      <c r="E614" t="inlineStr">
        <is>
          <t>Média</t>
        </is>
      </c>
      <c r="F614" t="inlineStr">
        <is>
          <t>Simone Carvalho</t>
        </is>
      </c>
      <c r="G614" t="inlineStr">
        <is>
          <t>Fechada</t>
        </is>
      </c>
      <c r="H614" s="5" t="n">
        <v>45846.01597222222</v>
      </c>
    </row>
    <row r="615">
      <c r="A615" t="inlineStr">
        <is>
          <t>OS-2113</t>
        </is>
      </c>
      <c r="B615" t="inlineStr">
        <is>
          <t>Ar-condicionado da sala V-08 sem refrigerar</t>
        </is>
      </c>
      <c r="C615" t="inlineStr">
        <is>
          <t>Ar-condicionado da sala de painéis V-08 ligado sem refrigerar.</t>
        </is>
      </c>
      <c r="D615" t="inlineStr">
        <is>
          <t>Estação de Bombeamento Três Pontes</t>
        </is>
      </c>
      <c r="E615" t="inlineStr">
        <is>
          <t>Média</t>
        </is>
      </c>
      <c r="F615" t="inlineStr">
        <is>
          <t>Bernardo Leal</t>
        </is>
      </c>
      <c r="G615" t="inlineStr">
        <is>
          <t>Fechada</t>
        </is>
      </c>
      <c r="H615" s="5" t="n">
        <v>45846.34722222222</v>
      </c>
    </row>
    <row r="616">
      <c r="A616" t="inlineStr">
        <is>
          <t>OS-2114</t>
        </is>
      </c>
      <c r="B616" t="inlineStr">
        <is>
          <t>Falha de comunicação no CLP M-29</t>
        </is>
      </c>
      <c r="C616" t="inlineStr">
        <is>
          <t>CLP M-29 perde comunicação com o supervisório em intervalos irregulares.</t>
        </is>
      </c>
      <c r="D616" t="inlineStr">
        <is>
          <t>Estação Elevatória Leste</t>
        </is>
      </c>
      <c r="E616" t="inlineStr">
        <is>
          <t>Média</t>
        </is>
      </c>
      <c r="F616" t="inlineStr">
        <is>
          <t>Igor Fonseca</t>
        </is>
      </c>
      <c r="G616" t="inlineStr">
        <is>
          <t>Fechada</t>
        </is>
      </c>
      <c r="H616" s="5" t="n">
        <v>45846.65486111111</v>
      </c>
    </row>
    <row r="617">
      <c r="A617" t="inlineStr">
        <is>
          <t>OS-2115</t>
        </is>
      </c>
      <c r="B617" t="inlineStr">
        <is>
          <t>Aquecimento no mancal do motor H-37</t>
        </is>
      </c>
      <c r="C617" t="inlineStr">
        <is>
          <t>Mancal do motor H-37 acima da temperatura usual na medição com termômetro infravermelho.</t>
        </is>
      </c>
      <c r="D617" t="inlineStr">
        <is>
          <t>Adutora Tronco Sul</t>
        </is>
      </c>
      <c r="E617" t="inlineStr">
        <is>
          <t>Baixa</t>
        </is>
      </c>
      <c r="F617" t="inlineStr">
        <is>
          <t>Rafael Torres</t>
        </is>
      </c>
      <c r="G617" t="inlineStr">
        <is>
          <t>Fechada</t>
        </is>
      </c>
      <c r="H617" s="5" t="n">
        <v>45846.93055555555</v>
      </c>
    </row>
    <row r="618">
      <c r="A618" t="inlineStr">
        <is>
          <t>OS-2116</t>
        </is>
      </c>
      <c r="B618" t="inlineStr">
        <is>
          <t>Exaustor P-25 parado</t>
        </is>
      </c>
      <c r="C618" t="inlineStr">
        <is>
          <t>Exaustor P-25 não parte. Fusível íntegro.</t>
        </is>
      </c>
      <c r="D618" t="inlineStr">
        <is>
          <t>Base Operacional Sul</t>
        </is>
      </c>
      <c r="E618" t="inlineStr">
        <is>
          <t>Média</t>
        </is>
      </c>
      <c r="F618" t="inlineStr">
        <is>
          <t>Úrsula Maia</t>
        </is>
      </c>
      <c r="G618" t="inlineStr">
        <is>
          <t>Fechada</t>
        </is>
      </c>
      <c r="H618" s="5" t="n">
        <v>45847.25277777778</v>
      </c>
    </row>
    <row r="619">
      <c r="A619" t="inlineStr">
        <is>
          <t>OS-2117</t>
        </is>
      </c>
      <c r="B619" t="inlineStr">
        <is>
          <t>Infiltração na parede da casa de bombas F-38</t>
        </is>
      </c>
      <c r="C619" t="inlineStr">
        <is>
          <t>Mancha de umidade crescente na parede da casa de bombas F-38.</t>
        </is>
      </c>
      <c r="D619" t="inlineStr">
        <is>
          <t>Pátio de Veículos</t>
        </is>
      </c>
      <c r="E619" t="inlineStr">
        <is>
          <t>Média</t>
        </is>
      </c>
      <c r="F619" t="inlineStr">
        <is>
          <t>Danilo Peixoto</t>
        </is>
      </c>
      <c r="G619" t="inlineStr">
        <is>
          <t>Fechada</t>
        </is>
      </c>
      <c r="H619" s="5" t="n">
        <v>45847.53194444445</v>
      </c>
    </row>
    <row r="620">
      <c r="A620" t="inlineStr">
        <is>
          <t>OS-2118</t>
        </is>
      </c>
      <c r="B620" t="inlineStr">
        <is>
          <t>Lâmpada queimada na área G-29</t>
        </is>
      </c>
      <c r="C620" t="inlineStr">
        <is>
          <t>Iluminação da área G-29 sem funcionar. Reposição de lâmpada e conferência do reator.</t>
        </is>
      </c>
      <c r="D620" t="inlineStr">
        <is>
          <t>Galpão de Materiais</t>
        </is>
      </c>
      <c r="E620" t="inlineStr">
        <is>
          <t>Média</t>
        </is>
      </c>
      <c r="F620" t="inlineStr">
        <is>
          <t>Natália Cordeiro</t>
        </is>
      </c>
      <c r="G620" t="inlineStr">
        <is>
          <t>Fechada</t>
        </is>
      </c>
      <c r="H620" s="5" t="n">
        <v>45847.85555555556</v>
      </c>
    </row>
    <row r="621">
      <c r="A621" t="inlineStr">
        <is>
          <t>OS-2119</t>
        </is>
      </c>
      <c r="B621" t="inlineStr">
        <is>
          <t>Vazamento na bomba G-31</t>
        </is>
      </c>
      <c r="C621" t="inlineStr">
        <is>
          <t>Vazamento pelo selo mecânico da bomba G-31. Piso molhado ao redor da base.</t>
        </is>
      </c>
      <c r="D621" t="inlineStr">
        <is>
          <t>Base Operacional Litoral</t>
        </is>
      </c>
      <c r="E621" t="inlineStr">
        <is>
          <t>Média</t>
        </is>
      </c>
      <c r="F621" t="inlineStr">
        <is>
          <t>Gabriel Matos</t>
        </is>
      </c>
      <c r="G621" t="inlineStr">
        <is>
          <t>Fechada</t>
        </is>
      </c>
      <c r="H621" s="5" t="n">
        <v>45848.16527777778</v>
      </c>
    </row>
    <row r="622">
      <c r="A622" t="inlineStr">
        <is>
          <t>OS-2120</t>
        </is>
      </c>
      <c r="B622" t="inlineStr">
        <is>
          <t>Disjuntor desarmando no painel P-30</t>
        </is>
      </c>
      <c r="C622" t="inlineStr">
        <is>
          <t>Disjuntor do painel P-30 desarmou três vezes no turno. Carga dentro do nominal.</t>
        </is>
      </c>
      <c r="D622" t="inlineStr">
        <is>
          <t>Booster Morada do Sol</t>
        </is>
      </c>
      <c r="E622" t="inlineStr">
        <is>
          <t>Crítica</t>
        </is>
      </c>
      <c r="F622" t="inlineStr">
        <is>
          <t>Simone Carvalho</t>
        </is>
      </c>
      <c r="G622" t="inlineStr">
        <is>
          <t>Fechada</t>
        </is>
      </c>
      <c r="H622" s="5" t="n">
        <v>45848.47777777778</v>
      </c>
    </row>
    <row r="623">
      <c r="A623" t="inlineStr">
        <is>
          <t>OS-2121</t>
        </is>
      </c>
      <c r="B623" t="inlineStr">
        <is>
          <t>Sensor de nível sem leitura no tanque V-14</t>
        </is>
      </c>
      <c r="C623" t="inlineStr">
        <is>
          <t>Supervisório mostra leitura congelada do sensor de nível do tanque V-14.</t>
        </is>
      </c>
      <c r="D623" t="inlineStr">
        <is>
          <t>ETE Vale do Sol</t>
        </is>
      </c>
      <c r="E623" t="inlineStr">
        <is>
          <t>Média</t>
        </is>
      </c>
      <c r="F623" t="inlineStr">
        <is>
          <t>Glória Sampaio</t>
        </is>
      </c>
      <c r="G623" t="inlineStr">
        <is>
          <t>Fechada</t>
        </is>
      </c>
      <c r="H623" s="5" t="n">
        <v>45848.76944444444</v>
      </c>
    </row>
    <row r="624">
      <c r="A624" t="inlineStr">
        <is>
          <t>OS-2122</t>
        </is>
      </c>
      <c r="B624" t="inlineStr">
        <is>
          <t>Tomada sem energia na sala T-17</t>
        </is>
      </c>
      <c r="C624" t="inlineStr">
        <is>
          <t>Tomada de serviço da sala T-17 sem tensão.</t>
        </is>
      </c>
      <c r="D624" t="inlineStr">
        <is>
          <t>Torre de Telecomunicação Morro Alto</t>
        </is>
      </c>
      <c r="E624" t="inlineStr">
        <is>
          <t>Baixa</t>
        </is>
      </c>
      <c r="F624" t="inlineStr">
        <is>
          <t>Simone Carvalho</t>
        </is>
      </c>
      <c r="G624" t="inlineStr">
        <is>
          <t>Fechada</t>
        </is>
      </c>
      <c r="H624" s="5" t="n">
        <v>45849.09027777778</v>
      </c>
    </row>
    <row r="625">
      <c r="A625" t="inlineStr">
        <is>
          <t>OS-2123</t>
        </is>
      </c>
      <c r="B625" t="inlineStr">
        <is>
          <t>Bomba dosadora G-05 sem recalque</t>
        </is>
      </c>
      <c r="C625" t="inlineStr">
        <is>
          <t>Bomba dosadora G-05 liga mas não dosa. Mangueira sem obstrução aparente.</t>
        </is>
      </c>
      <c r="D625" t="inlineStr">
        <is>
          <t>Base Operacional Norte</t>
        </is>
      </c>
      <c r="E625" t="inlineStr">
        <is>
          <t>Crítica</t>
        </is>
      </c>
      <c r="F625" t="inlineStr">
        <is>
          <t>Alex Nogueira</t>
        </is>
      </c>
      <c r="G625" t="inlineStr">
        <is>
          <t>Fechada</t>
        </is>
      </c>
      <c r="H625" s="5" t="n">
        <v>45849.38263888889</v>
      </c>
    </row>
    <row r="626">
      <c r="A626" t="inlineStr">
        <is>
          <t>OS-2124</t>
        </is>
      </c>
      <c r="B626" t="inlineStr">
        <is>
          <t>Vazamento de óleo no redutor E-03</t>
        </is>
      </c>
      <c r="C626" t="inlineStr">
        <is>
          <t>Gotejamento de óleo no redutor E-03. Nível ainda dentro da faixa.</t>
        </is>
      </c>
      <c r="D626" t="inlineStr">
        <is>
          <t>Centro de Operações</t>
        </is>
      </c>
      <c r="E626" t="inlineStr">
        <is>
          <t>Baixa</t>
        </is>
      </c>
      <c r="F626" t="inlineStr">
        <is>
          <t>Jonas Teles</t>
        </is>
      </c>
      <c r="G626" t="inlineStr">
        <is>
          <t>Fechada</t>
        </is>
      </c>
      <c r="H626" s="5" t="n">
        <v>45849.675</v>
      </c>
    </row>
    <row r="627">
      <c r="A627" t="inlineStr">
        <is>
          <t>OS-2125</t>
        </is>
      </c>
      <c r="B627" t="inlineStr">
        <is>
          <t>Medidor de vazão G-03 com leitura instável</t>
        </is>
      </c>
      <c r="C627" t="inlineStr">
        <is>
          <t>Medidor de vazão G-03 oscila sem variação de processo.</t>
        </is>
      </c>
      <c r="D627" t="inlineStr">
        <is>
          <t>Reservatório Santa Luzia</t>
        </is>
      </c>
      <c r="E627" t="inlineStr">
        <is>
          <t>Média</t>
        </is>
      </c>
      <c r="F627" t="inlineStr">
        <is>
          <t>Úrsula Maia</t>
        </is>
      </c>
      <c r="G627" t="inlineStr">
        <is>
          <t>Fechada</t>
        </is>
      </c>
      <c r="H627" s="5" t="n">
        <v>45849.98055555556</v>
      </c>
    </row>
    <row r="628">
      <c r="A628" t="inlineStr">
        <is>
          <t>OS-2126</t>
        </is>
      </c>
      <c r="B628" t="inlineStr">
        <is>
          <t>Falha de comunicação no CLP R-38</t>
        </is>
      </c>
      <c r="C628" t="inlineStr">
        <is>
          <t>CLP R-38 perde comunicação com o supervisório em intervalos irregulares.</t>
        </is>
      </c>
      <c r="D628" t="inlineStr">
        <is>
          <t>Oficina Elétrica Central</t>
        </is>
      </c>
      <c r="E628" t="inlineStr">
        <is>
          <t>Média</t>
        </is>
      </c>
      <c r="F628" t="inlineStr">
        <is>
          <t>Flávio Gusmão</t>
        </is>
      </c>
      <c r="G628" t="inlineStr">
        <is>
          <t>Fechada</t>
        </is>
      </c>
      <c r="H628" s="5" t="n">
        <v>45850.29791666667</v>
      </c>
    </row>
    <row r="629">
      <c r="A629" t="inlineStr">
        <is>
          <t>OS-2127</t>
        </is>
      </c>
      <c r="B629" t="inlineStr">
        <is>
          <t>Sensor de nível sem leitura no tanque V-01</t>
        </is>
      </c>
      <c r="C629" t="inlineStr">
        <is>
          <t>Supervisório mostra leitura congelada do sensor de nível do tanque V-01.</t>
        </is>
      </c>
      <c r="D629" t="inlineStr">
        <is>
          <t>ETE Rio Claro</t>
        </is>
      </c>
      <c r="E629" t="inlineStr">
        <is>
          <t>Média</t>
        </is>
      </c>
      <c r="F629" t="inlineStr">
        <is>
          <t>Glória Sampaio</t>
        </is>
      </c>
      <c r="G629" t="inlineStr">
        <is>
          <t>Fechada</t>
        </is>
      </c>
      <c r="H629" s="5" t="n">
        <v>45850.59861111111</v>
      </c>
    </row>
    <row r="630">
      <c r="A630" t="inlineStr">
        <is>
          <t>OS-2128</t>
        </is>
      </c>
      <c r="B630" t="inlineStr">
        <is>
          <t>Troca de filtro do compressor M-32</t>
        </is>
      </c>
      <c r="C630" t="inlineStr">
        <is>
          <t>Filtro de ar do compressor M-32 saturado. Substituição preventiva.</t>
        </is>
      </c>
      <c r="D630" t="inlineStr">
        <is>
          <t>Oficina Mecânica Central</t>
        </is>
      </c>
      <c r="E630" t="inlineStr">
        <is>
          <t>Média</t>
        </is>
      </c>
      <c r="F630" t="inlineStr">
        <is>
          <t>Thiago Bastos</t>
        </is>
      </c>
      <c r="G630" t="inlineStr">
        <is>
          <t>Fechada</t>
        </is>
      </c>
      <c r="H630" s="5" t="n">
        <v>45850.89166666667</v>
      </c>
    </row>
    <row r="631">
      <c r="A631" t="inlineStr">
        <is>
          <t>OS-2129</t>
        </is>
      </c>
      <c r="B631" t="inlineStr">
        <is>
          <t>Válvula P-17 não fecha por completo</t>
        </is>
      </c>
      <c r="C631" t="inlineStr">
        <is>
          <t>Válvula P-17 com passagem residual mesmo totalmente fechada. Possível desgaste da sede.</t>
        </is>
      </c>
      <c r="D631" t="inlineStr">
        <is>
          <t>Subestação Norte</t>
        </is>
      </c>
      <c r="E631" t="inlineStr">
        <is>
          <t>Baixa</t>
        </is>
      </c>
      <c r="F631" t="inlineStr">
        <is>
          <t>Larissa Bezerra</t>
        </is>
      </c>
      <c r="G631" t="inlineStr">
        <is>
          <t>Fechada</t>
        </is>
      </c>
      <c r="H631" s="5" t="n">
        <v>45851.22708333333</v>
      </c>
    </row>
    <row r="632">
      <c r="A632" t="inlineStr">
        <is>
          <t>OS-2130</t>
        </is>
      </c>
      <c r="B632" t="inlineStr">
        <is>
          <t>Ar-condicionado da sala A-16 sem refrigerar</t>
        </is>
      </c>
      <c r="C632" t="inlineStr">
        <is>
          <t>Ar-condicionado da sala de painéis A-16 ligado sem refrigerar.</t>
        </is>
      </c>
      <c r="D632" t="inlineStr">
        <is>
          <t>ETA Ribeirão Fundo</t>
        </is>
      </c>
      <c r="E632" t="inlineStr">
        <is>
          <t>Média</t>
        </is>
      </c>
      <c r="F632" t="inlineStr">
        <is>
          <t>Natália Cordeiro</t>
        </is>
      </c>
      <c r="G632" t="inlineStr">
        <is>
          <t>Fechada</t>
        </is>
      </c>
      <c r="H632" s="5" t="n">
        <v>45851.50694444445</v>
      </c>
    </row>
    <row r="633">
      <c r="A633" t="inlineStr">
        <is>
          <t>OS-2131</t>
        </is>
      </c>
      <c r="B633" t="inlineStr">
        <is>
          <t>Correia do ventilador F-29 desgastada</t>
        </is>
      </c>
      <c r="C633" t="inlineStr">
        <is>
          <t>Correia do ventilador F-29 com trincas visíveis e folga excessiva.</t>
        </is>
      </c>
      <c r="D633" t="inlineStr">
        <is>
          <t>Estação de Bombeamento Três Pontes</t>
        </is>
      </c>
      <c r="E633" t="inlineStr">
        <is>
          <t>Baixa</t>
        </is>
      </c>
      <c r="F633" t="inlineStr">
        <is>
          <t>Caio Rangel</t>
        </is>
      </c>
      <c r="G633" t="inlineStr">
        <is>
          <t>Fechada</t>
        </is>
      </c>
      <c r="H633" s="5" t="n">
        <v>45851.84027777778</v>
      </c>
    </row>
    <row r="634">
      <c r="A634" t="inlineStr">
        <is>
          <t>OS-2132</t>
        </is>
      </c>
      <c r="B634" t="inlineStr">
        <is>
          <t>Válvula G-07 não fecha por completo</t>
        </is>
      </c>
      <c r="C634" t="inlineStr">
        <is>
          <t>Válvula G-07 com passagem residual mesmo totalmente fechada. Possível desgaste da sede.</t>
        </is>
      </c>
      <c r="D634" t="inlineStr">
        <is>
          <t>ETE Rio Claro</t>
        </is>
      </c>
      <c r="E634" t="inlineStr">
        <is>
          <t>Alta</t>
        </is>
      </c>
      <c r="F634" t="inlineStr">
        <is>
          <t>Danilo Peixoto</t>
        </is>
      </c>
      <c r="G634" t="inlineStr">
        <is>
          <t>Fechada</t>
        </is>
      </c>
      <c r="H634" s="5" t="n">
        <v>45852.11527777778</v>
      </c>
    </row>
    <row r="635">
      <c r="A635" t="inlineStr">
        <is>
          <t>OS-2133</t>
        </is>
      </c>
      <c r="B635" t="inlineStr">
        <is>
          <t>Vazamento de óleo no redutor P-14</t>
        </is>
      </c>
      <c r="C635" t="inlineStr">
        <is>
          <t>Gotejamento de óleo no redutor P-14. Nível ainda dentro da faixa.</t>
        </is>
      </c>
      <c r="D635" t="inlineStr">
        <is>
          <t>Estação Elevatória Oeste</t>
        </is>
      </c>
      <c r="E635" t="inlineStr">
        <is>
          <t>Média</t>
        </is>
      </c>
      <c r="F635" t="inlineStr">
        <is>
          <t>Fernanda Quintela</t>
        </is>
      </c>
      <c r="G635" t="inlineStr">
        <is>
          <t>Fechada</t>
        </is>
      </c>
      <c r="H635" s="5" t="n">
        <v>45852.44583333333</v>
      </c>
    </row>
    <row r="636">
      <c r="A636" t="inlineStr">
        <is>
          <t>OS-2134</t>
        </is>
      </c>
      <c r="B636" t="inlineStr">
        <is>
          <t>Infiltração na parede da casa de bombas M-40</t>
        </is>
      </c>
      <c r="C636" t="inlineStr">
        <is>
          <t>Mancha de umidade crescente na parede da casa de bombas M-40.</t>
        </is>
      </c>
      <c r="D636" t="inlineStr">
        <is>
          <t>Almoxarifado Central</t>
        </is>
      </c>
      <c r="E636" t="inlineStr">
        <is>
          <t>Média</t>
        </is>
      </c>
      <c r="F636" t="inlineStr">
        <is>
          <t>Ingrid Queiroz</t>
        </is>
      </c>
      <c r="G636" t="inlineStr">
        <is>
          <t>Fechada</t>
        </is>
      </c>
      <c r="H636" s="5" t="n">
        <v>45852.74236111111</v>
      </c>
    </row>
    <row r="637">
      <c r="A637" t="inlineStr">
        <is>
          <t>OS-2135</t>
        </is>
      </c>
      <c r="B637" t="inlineStr">
        <is>
          <t>Bomba dosadora C-14 sem recalque</t>
        </is>
      </c>
      <c r="C637" t="inlineStr">
        <is>
          <t>Bomba dosadora C-14 liga mas não dosa. Mangueira sem obstrução aparente.</t>
        </is>
      </c>
      <c r="D637" t="inlineStr">
        <is>
          <t>Captação Lagoa Seca</t>
        </is>
      </c>
      <c r="E637" t="inlineStr">
        <is>
          <t>Média</t>
        </is>
      </c>
      <c r="F637" t="inlineStr">
        <is>
          <t>Kleber Antunes</t>
        </is>
      </c>
      <c r="G637" t="inlineStr">
        <is>
          <t>Fechada</t>
        </is>
      </c>
      <c r="H637" s="5" t="n">
        <v>45853.05416666667</v>
      </c>
    </row>
    <row r="638">
      <c r="A638" t="inlineStr">
        <is>
          <t>OS-2136</t>
        </is>
      </c>
      <c r="B638" t="inlineStr">
        <is>
          <t>Calha entupida no prédio D-37</t>
        </is>
      </c>
      <c r="C638" t="inlineStr">
        <is>
          <t>Calha do prédio D-37 transbordando em dia de chuva.</t>
        </is>
      </c>
      <c r="D638" t="inlineStr">
        <is>
          <t>Subestação Oeste</t>
        </is>
      </c>
      <c r="E638" t="inlineStr">
        <is>
          <t>Baixa</t>
        </is>
      </c>
      <c r="F638" t="inlineStr">
        <is>
          <t>Úrsula Maia</t>
        </is>
      </c>
      <c r="G638" t="inlineStr">
        <is>
          <t>Fechada</t>
        </is>
      </c>
      <c r="H638" s="5" t="n">
        <v>45853.36527777778</v>
      </c>
    </row>
    <row r="639">
      <c r="A639" t="inlineStr">
        <is>
          <t>OS-2137</t>
        </is>
      </c>
      <c r="B639" t="inlineStr">
        <is>
          <t>Ruído anormal no motor E-12</t>
        </is>
      </c>
      <c r="C639" t="inlineStr">
        <is>
          <t>Ruído intermitente no motor E-12 durante a partida. Temperatura normal ao toque.</t>
        </is>
      </c>
      <c r="D639" t="inlineStr">
        <is>
          <t>ETE Rio Claro</t>
        </is>
      </c>
      <c r="E639" t="inlineStr">
        <is>
          <t>Alta</t>
        </is>
      </c>
      <c r="F639" t="inlineStr">
        <is>
          <t>Eduardo Salles</t>
        </is>
      </c>
      <c r="G639" t="inlineStr">
        <is>
          <t>Fechada</t>
        </is>
      </c>
      <c r="H639" s="5" t="n">
        <v>45853.64027777778</v>
      </c>
    </row>
    <row r="640">
      <c r="A640" t="inlineStr">
        <is>
          <t>OS-2138</t>
        </is>
      </c>
      <c r="B640" t="inlineStr">
        <is>
          <t>Válvula A-07 não fecha por completo</t>
        </is>
      </c>
      <c r="C640" t="inlineStr">
        <is>
          <t>Válvula A-07 com passagem residual mesmo totalmente fechada. Possível desgaste da sede.</t>
        </is>
      </c>
      <c r="D640" t="inlineStr">
        <is>
          <t>Almoxarifado Central</t>
        </is>
      </c>
      <c r="E640" t="inlineStr">
        <is>
          <t>Média</t>
        </is>
      </c>
      <c r="F640" t="inlineStr">
        <is>
          <t>Vagner Pacheco</t>
        </is>
      </c>
      <c r="G640" t="inlineStr">
        <is>
          <t>Fechada</t>
        </is>
      </c>
      <c r="H640" s="5" t="n">
        <v>45853.95555555556</v>
      </c>
    </row>
    <row r="641">
      <c r="A641" t="inlineStr">
        <is>
          <t>OS-2139</t>
        </is>
      </c>
      <c r="B641" t="inlineStr">
        <is>
          <t>Troca de filtro do compressor G-23</t>
        </is>
      </c>
      <c r="C641" t="inlineStr">
        <is>
          <t>Filtro de ar do compressor G-23 saturado. Substituição preventiva.</t>
        </is>
      </c>
      <c r="D641" t="inlineStr">
        <is>
          <t>Subestação Leste</t>
        </is>
      </c>
      <c r="E641" t="inlineStr">
        <is>
          <t>Crítica</t>
        </is>
      </c>
      <c r="F641" t="inlineStr">
        <is>
          <t>Kleber Antunes</t>
        </is>
      </c>
      <c r="G641" t="inlineStr">
        <is>
          <t>Fechada</t>
        </is>
      </c>
      <c r="H641" s="5" t="n">
        <v>45854.24166666667</v>
      </c>
    </row>
    <row r="642">
      <c r="A642" t="inlineStr">
        <is>
          <t>OS-2140</t>
        </is>
      </c>
      <c r="B642" t="inlineStr">
        <is>
          <t>Medidor de vazão R-31 com leitura instável</t>
        </is>
      </c>
      <c r="C642" t="inlineStr">
        <is>
          <t>Medidor de vazão R-31 oscila sem variação de processo.</t>
        </is>
      </c>
      <c r="D642" t="inlineStr">
        <is>
          <t>Base Operacional Serra</t>
        </is>
      </c>
      <c r="E642" t="inlineStr">
        <is>
          <t>Baixa</t>
        </is>
      </c>
      <c r="F642" t="inlineStr">
        <is>
          <t>Danilo Peixoto</t>
        </is>
      </c>
      <c r="G642" t="inlineStr">
        <is>
          <t>Fechada</t>
        </is>
      </c>
      <c r="H642" s="5" t="n">
        <v>45854.57361111111</v>
      </c>
    </row>
    <row r="643">
      <c r="A643" t="inlineStr">
        <is>
          <t>OS-2141</t>
        </is>
      </c>
      <c r="B643" t="inlineStr">
        <is>
          <t>Pintura descascada na estrutura H-11</t>
        </is>
      </c>
      <c r="C643" t="inlineStr">
        <is>
          <t>Estrutura metálica H-11 com pontos de corrosão sob a pintura.</t>
        </is>
      </c>
      <c r="D643" t="inlineStr">
        <is>
          <t>Oficina Mecânica Central</t>
        </is>
      </c>
      <c r="E643" t="inlineStr">
        <is>
          <t>Média</t>
        </is>
      </c>
      <c r="F643" t="inlineStr">
        <is>
          <t>Zeca Moraes</t>
        </is>
      </c>
      <c r="G643" t="inlineStr">
        <is>
          <t>Fechada</t>
        </is>
      </c>
      <c r="H643" s="5" t="n">
        <v>45854.88055555556</v>
      </c>
    </row>
    <row r="644">
      <c r="A644" t="inlineStr">
        <is>
          <t>OS-2142</t>
        </is>
      </c>
      <c r="B644" t="inlineStr">
        <is>
          <t>Bomba dosadora R-35 sem recalque</t>
        </is>
      </c>
      <c r="C644" t="inlineStr">
        <is>
          <t>Bomba dosadora R-35 liga mas não dosa. Mangueira sem obstrução aparente.</t>
        </is>
      </c>
      <c r="D644" t="inlineStr">
        <is>
          <t>Subestação Norte</t>
        </is>
      </c>
      <c r="E644" t="inlineStr">
        <is>
          <t>Baixa</t>
        </is>
      </c>
      <c r="F644" t="inlineStr">
        <is>
          <t>Beatriz Farias</t>
        </is>
      </c>
      <c r="G644" t="inlineStr">
        <is>
          <t>Fechada</t>
        </is>
      </c>
      <c r="H644" s="5" t="n">
        <v>45855.16180555556</v>
      </c>
    </row>
    <row r="645">
      <c r="A645" t="inlineStr">
        <is>
          <t>OS-2143</t>
        </is>
      </c>
      <c r="B645" t="inlineStr">
        <is>
          <t>Exaustor A-03 parado</t>
        </is>
      </c>
      <c r="C645" t="inlineStr">
        <is>
          <t>Exaustor A-03 não parte. Fusível íntegro.</t>
        </is>
      </c>
      <c r="D645" t="inlineStr">
        <is>
          <t>ETA Serra Azul</t>
        </is>
      </c>
      <c r="E645" t="inlineStr">
        <is>
          <t>Alta</t>
        </is>
      </c>
      <c r="F645" t="inlineStr">
        <is>
          <t>Wesley Cardoso</t>
        </is>
      </c>
      <c r="G645" t="inlineStr">
        <is>
          <t>Fechada</t>
        </is>
      </c>
      <c r="H645" s="5" t="n">
        <v>45855.50277777778</v>
      </c>
    </row>
    <row r="646">
      <c r="A646" t="inlineStr">
        <is>
          <t>OS-2144</t>
        </is>
      </c>
      <c r="B646" t="inlineStr">
        <is>
          <t>Medidor de vazão F-23 com leitura instável</t>
        </is>
      </c>
      <c r="C646" t="inlineStr">
        <is>
          <t>Medidor de vazão F-23 oscila sem variação de processo.</t>
        </is>
      </c>
      <c r="D646" t="inlineStr">
        <is>
          <t>Booster Morada do Sol</t>
        </is>
      </c>
      <c r="E646" t="inlineStr">
        <is>
          <t>Média</t>
        </is>
      </c>
      <c r="F646" t="inlineStr">
        <is>
          <t>Fernanda Quintela</t>
        </is>
      </c>
      <c r="G646" t="inlineStr">
        <is>
          <t>Fechada</t>
        </is>
      </c>
      <c r="H646" s="5" t="n">
        <v>45855.77013888889</v>
      </c>
    </row>
    <row r="647">
      <c r="A647" t="inlineStr">
        <is>
          <t>OS-2145</t>
        </is>
      </c>
      <c r="B647" t="inlineStr">
        <is>
          <t>Exaustor E-37 parado</t>
        </is>
      </c>
      <c r="C647" t="inlineStr">
        <is>
          <t>Exaustor E-37 não parte. Fusível íntegro.</t>
        </is>
      </c>
      <c r="D647" t="inlineStr">
        <is>
          <t>Subestação Sul</t>
        </is>
      </c>
      <c r="E647" t="inlineStr">
        <is>
          <t>Baixa</t>
        </is>
      </c>
      <c r="F647" t="inlineStr">
        <is>
          <t>Thiago Bastos</t>
        </is>
      </c>
      <c r="G647" t="inlineStr">
        <is>
          <t>Fechada</t>
        </is>
      </c>
      <c r="H647" s="5" t="n">
        <v>45856.08958333333</v>
      </c>
    </row>
    <row r="648">
      <c r="A648" t="inlineStr">
        <is>
          <t>OS-2146</t>
        </is>
      </c>
      <c r="B648" t="inlineStr">
        <is>
          <t>Vazamento de óleo no redutor A-22</t>
        </is>
      </c>
      <c r="C648" t="inlineStr">
        <is>
          <t>Gotejamento de óleo no redutor A-22. Nível ainda dentro da faixa.</t>
        </is>
      </c>
      <c r="D648" t="inlineStr">
        <is>
          <t>Subestação Oeste</t>
        </is>
      </c>
      <c r="E648" t="inlineStr">
        <is>
          <t>Média</t>
        </is>
      </c>
      <c r="F648" t="inlineStr">
        <is>
          <t>Cíntia Freitas</t>
        </is>
      </c>
      <c r="G648" t="inlineStr">
        <is>
          <t>Fechada</t>
        </is>
      </c>
      <c r="H648" s="5" t="n">
        <v>45856.4</v>
      </c>
    </row>
    <row r="649">
      <c r="A649" t="inlineStr">
        <is>
          <t>OS-2147</t>
        </is>
      </c>
      <c r="B649" t="inlineStr">
        <is>
          <t>Aquecimento no mancal do motor C-08</t>
        </is>
      </c>
      <c r="C649" t="inlineStr">
        <is>
          <t>Mancal do motor C-08 acima da temperatura usual na medição com termômetro infravermelho.</t>
        </is>
      </c>
      <c r="D649" t="inlineStr">
        <is>
          <t>Laboratório de Controle</t>
        </is>
      </c>
      <c r="E649" t="inlineStr">
        <is>
          <t>Média</t>
        </is>
      </c>
      <c r="F649" t="inlineStr">
        <is>
          <t>Thiago Bastos</t>
        </is>
      </c>
      <c r="G649" t="inlineStr">
        <is>
          <t>Fechada</t>
        </is>
      </c>
      <c r="H649" s="5" t="n">
        <v>45856.69236111111</v>
      </c>
    </row>
    <row r="650">
      <c r="A650" t="inlineStr">
        <is>
          <t>OS-2148</t>
        </is>
      </c>
      <c r="B650" t="inlineStr">
        <is>
          <t>Bomba dosadora M-21 sem recalque</t>
        </is>
      </c>
      <c r="C650" t="inlineStr">
        <is>
          <t>Bomba dosadora M-21 liga mas não dosa. Mangueira sem obstrução aparente.</t>
        </is>
      </c>
      <c r="D650" t="inlineStr">
        <is>
          <t>Estação Elevatória Porto</t>
        </is>
      </c>
      <c r="E650" t="inlineStr">
        <is>
          <t>Baixa</t>
        </is>
      </c>
      <c r="F650" t="inlineStr">
        <is>
          <t>Vagner Pacheco</t>
        </is>
      </c>
      <c r="G650" t="inlineStr">
        <is>
          <t>Fechada</t>
        </is>
      </c>
      <c r="H650" s="5" t="n">
        <v>45857.01319444444</v>
      </c>
    </row>
    <row r="651">
      <c r="A651" t="inlineStr">
        <is>
          <t>OS-2149</t>
        </is>
      </c>
      <c r="B651" t="inlineStr">
        <is>
          <t>Tomada sem energia na sala E-08</t>
        </is>
      </c>
      <c r="C651" t="inlineStr">
        <is>
          <t>Tomada de serviço da sala E-08 sem tensão.</t>
        </is>
      </c>
      <c r="D651" t="inlineStr">
        <is>
          <t>Subestação Sul</t>
        </is>
      </c>
      <c r="E651" t="inlineStr">
        <is>
          <t>Alta</t>
        </is>
      </c>
      <c r="F651" t="inlineStr">
        <is>
          <t>Natália Cordeiro</t>
        </is>
      </c>
      <c r="G651" t="inlineStr">
        <is>
          <t>Fechada</t>
        </is>
      </c>
      <c r="H651" s="5" t="n">
        <v>45857.30277777778</v>
      </c>
    </row>
    <row r="652">
      <c r="A652" t="inlineStr">
        <is>
          <t>OS-2150</t>
        </is>
      </c>
      <c r="B652" t="inlineStr">
        <is>
          <t>Disjuntor desarmando no painel F-01</t>
        </is>
      </c>
      <c r="C652" t="inlineStr">
        <is>
          <t>Disjuntor do painel F-01 desarmou três vezes no turno. Carga dentro do nominal.</t>
        </is>
      </c>
      <c r="D652" t="inlineStr">
        <is>
          <t>Estação Elevatória Oeste</t>
        </is>
      </c>
      <c r="E652" t="inlineStr">
        <is>
          <t>Baixa</t>
        </is>
      </c>
      <c r="F652" t="inlineStr">
        <is>
          <t>Juliana Aguiar</t>
        </is>
      </c>
      <c r="G652" t="inlineStr">
        <is>
          <t>Fechada</t>
        </is>
      </c>
      <c r="H652" s="5" t="n">
        <v>45857.63194444445</v>
      </c>
    </row>
    <row r="653">
      <c r="A653" t="inlineStr">
        <is>
          <t>OS-2151</t>
        </is>
      </c>
      <c r="B653" t="inlineStr">
        <is>
          <t>Troca de filtro do compressor V-23</t>
        </is>
      </c>
      <c r="C653" t="inlineStr">
        <is>
          <t>Filtro de ar do compressor V-23 saturado. Substituição preventiva.</t>
        </is>
      </c>
      <c r="D653" t="inlineStr">
        <is>
          <t>Usina Fotovoltaica Planalto</t>
        </is>
      </c>
      <c r="E653" t="inlineStr">
        <is>
          <t>Alta</t>
        </is>
      </c>
      <c r="F653" t="inlineStr">
        <is>
          <t>Hugo Albuquerque</t>
        </is>
      </c>
      <c r="G653" t="inlineStr">
        <is>
          <t>Fechada</t>
        </is>
      </c>
      <c r="H653" s="5" t="n">
        <v>45857.91388888889</v>
      </c>
    </row>
    <row r="654">
      <c r="A654" t="inlineStr">
        <is>
          <t>OS-2152</t>
        </is>
      </c>
      <c r="B654" t="inlineStr">
        <is>
          <t>Falha de comunicação no CLP H-18</t>
        </is>
      </c>
      <c r="C654" t="inlineStr">
        <is>
          <t>CLP H-18 perde comunicação com o supervisório em intervalos irregulares.</t>
        </is>
      </c>
      <c r="D654" t="inlineStr">
        <is>
          <t>Pátio de Veículos</t>
        </is>
      </c>
      <c r="E654" t="inlineStr">
        <is>
          <t>Média</t>
        </is>
      </c>
      <c r="F654" t="inlineStr">
        <is>
          <t>Caio Rangel</t>
        </is>
      </c>
      <c r="G654" t="inlineStr">
        <is>
          <t>Fechada</t>
        </is>
      </c>
      <c r="H654" s="5" t="n">
        <v>45858.22291666667</v>
      </c>
    </row>
    <row r="655">
      <c r="A655" t="inlineStr">
        <is>
          <t>OS-2153</t>
        </is>
      </c>
      <c r="B655" t="inlineStr">
        <is>
          <t>Aquecimento no mancal do motor F-06</t>
        </is>
      </c>
      <c r="C655" t="inlineStr">
        <is>
          <t>Mancal do motor F-06 acima da temperatura usual na medição com termômetro infravermelho.</t>
        </is>
      </c>
      <c r="D655" t="inlineStr">
        <is>
          <t>Subestação Oeste</t>
        </is>
      </c>
      <c r="E655" t="inlineStr">
        <is>
          <t>Alta</t>
        </is>
      </c>
      <c r="F655" t="inlineStr">
        <is>
          <t>Priscila Guedes</t>
        </is>
      </c>
      <c r="G655" t="inlineStr">
        <is>
          <t>Fechada</t>
        </is>
      </c>
      <c r="H655" s="5" t="n">
        <v>45858.54583333333</v>
      </c>
    </row>
    <row r="656">
      <c r="A656" t="inlineStr">
        <is>
          <t>OS-2154</t>
        </is>
      </c>
      <c r="B656" t="inlineStr">
        <is>
          <t>Válvula G-12 não fecha por completo</t>
        </is>
      </c>
      <c r="C656" t="inlineStr">
        <is>
          <t>Válvula G-12 com passagem residual mesmo totalmente fechada. Possível desgaste da sede.</t>
        </is>
      </c>
      <c r="D656" t="inlineStr">
        <is>
          <t>Subestação Centro</t>
        </is>
      </c>
      <c r="E656" t="inlineStr">
        <is>
          <t>Baixa</t>
        </is>
      </c>
      <c r="F656" t="inlineStr">
        <is>
          <t>Rafael Torres</t>
        </is>
      </c>
      <c r="G656" t="inlineStr">
        <is>
          <t>Fechada</t>
        </is>
      </c>
      <c r="H656" s="5" t="n">
        <v>45858.84583333333</v>
      </c>
    </row>
    <row r="657">
      <c r="A657" t="inlineStr">
        <is>
          <t>OS-2155</t>
        </is>
      </c>
      <c r="B657" t="inlineStr">
        <is>
          <t>Calha entupida no prédio C-10</t>
        </is>
      </c>
      <c r="C657" t="inlineStr">
        <is>
          <t>Calha do prédio C-10 transbordando em dia de chuva.</t>
        </is>
      </c>
      <c r="D657" t="inlineStr">
        <is>
          <t>Subestação Centro</t>
        </is>
      </c>
      <c r="E657" t="inlineStr">
        <is>
          <t>Média</t>
        </is>
      </c>
      <c r="F657" t="inlineStr">
        <is>
          <t>Érica Andrade</t>
        </is>
      </c>
      <c r="G657" t="inlineStr">
        <is>
          <t>Fechada</t>
        </is>
      </c>
      <c r="H657" s="5" t="n">
        <v>45859.13333333333</v>
      </c>
    </row>
    <row r="658">
      <c r="A658" t="inlineStr">
        <is>
          <t>OS-2156</t>
        </is>
      </c>
      <c r="B658" t="inlineStr">
        <is>
          <t>Vazamento na bomba H-16</t>
        </is>
      </c>
      <c r="C658" t="inlineStr">
        <is>
          <t>Vazamento pelo selo mecânico da bomba H-16. Piso molhado ao redor da base.</t>
        </is>
      </c>
      <c r="D658" t="inlineStr">
        <is>
          <t>Subestação Norte</t>
        </is>
      </c>
      <c r="E658" t="inlineStr">
        <is>
          <t>Média</t>
        </is>
      </c>
      <c r="F658" t="inlineStr">
        <is>
          <t>Larissa Bezerra</t>
        </is>
      </c>
      <c r="G658" t="inlineStr">
        <is>
          <t>Fechada</t>
        </is>
      </c>
      <c r="H658" s="5" t="n">
        <v>45859.43333333333</v>
      </c>
    </row>
    <row r="659">
      <c r="A659" t="inlineStr">
        <is>
          <t>OS-2157</t>
        </is>
      </c>
      <c r="B659" t="inlineStr">
        <is>
          <t>Correia do ventilador F-24 desgastada</t>
        </is>
      </c>
      <c r="C659" t="inlineStr">
        <is>
          <t>Correia do ventilador F-24 com trincas visíveis e folga excessiva.</t>
        </is>
      </c>
      <c r="D659" t="inlineStr">
        <is>
          <t>Reservatório Santa Luzia</t>
        </is>
      </c>
      <c r="E659" t="inlineStr">
        <is>
          <t>Média</t>
        </is>
      </c>
      <c r="F659" t="inlineStr">
        <is>
          <t>Aline Rocha</t>
        </is>
      </c>
      <c r="G659" t="inlineStr">
        <is>
          <t>Fechada</t>
        </is>
      </c>
      <c r="H659" s="5" t="n">
        <v>45859.76388888889</v>
      </c>
    </row>
    <row r="660">
      <c r="A660" t="inlineStr">
        <is>
          <t>OS-2158</t>
        </is>
      </c>
      <c r="B660" t="inlineStr">
        <is>
          <t>Vazamento de óleo no redutor A-32</t>
        </is>
      </c>
      <c r="C660" t="inlineStr">
        <is>
          <t>Gotejamento de óleo no redutor A-32. Nível ainda dentro da faixa.</t>
        </is>
      </c>
      <c r="D660" t="inlineStr">
        <is>
          <t>Sede Administrativa</t>
        </is>
      </c>
      <c r="E660" t="inlineStr">
        <is>
          <t>Média</t>
        </is>
      </c>
      <c r="F660" t="inlineStr">
        <is>
          <t>Otávio Lacerda</t>
        </is>
      </c>
      <c r="G660" t="inlineStr">
        <is>
          <t>Fechada</t>
        </is>
      </c>
      <c r="H660" s="5" t="n">
        <v>45860.07361111111</v>
      </c>
    </row>
    <row r="661">
      <c r="A661" t="inlineStr">
        <is>
          <t>OS-2159</t>
        </is>
      </c>
      <c r="B661" t="inlineStr">
        <is>
          <t>Disjuntor desarmando no painel V-10</t>
        </is>
      </c>
      <c r="C661" t="inlineStr">
        <is>
          <t>Disjuntor do painel V-10 desarmou três vezes no turno. Carga dentro do nominal.</t>
        </is>
      </c>
      <c r="D661" t="inlineStr">
        <is>
          <t>Base Operacional Sul</t>
        </is>
      </c>
      <c r="E661" t="inlineStr">
        <is>
          <t>Baixa</t>
        </is>
      </c>
      <c r="F661" t="inlineStr">
        <is>
          <t>Daniela Pires</t>
        </is>
      </c>
      <c r="G661" t="inlineStr">
        <is>
          <t>Fechada</t>
        </is>
      </c>
      <c r="H661" s="5" t="n">
        <v>45860.35069444445</v>
      </c>
    </row>
    <row r="662">
      <c r="A662" t="inlineStr">
        <is>
          <t>OS-2160</t>
        </is>
      </c>
      <c r="B662" t="inlineStr">
        <is>
          <t>Vazamento de óleo no redutor F-14</t>
        </is>
      </c>
      <c r="C662" t="inlineStr">
        <is>
          <t>Gotejamento de óleo no redutor F-14. Nível ainda dentro da faixa.</t>
        </is>
      </c>
      <c r="D662" t="inlineStr">
        <is>
          <t>Galpão de Materiais</t>
        </is>
      </c>
      <c r="E662" t="inlineStr">
        <is>
          <t>Média</t>
        </is>
      </c>
      <c r="F662" t="inlineStr">
        <is>
          <t>Cíntia Freitas</t>
        </is>
      </c>
      <c r="G662" t="inlineStr">
        <is>
          <t>Fechada</t>
        </is>
      </c>
      <c r="H662" s="5" t="n">
        <v>45860.68194444444</v>
      </c>
    </row>
    <row r="663">
      <c r="A663" t="inlineStr">
        <is>
          <t>OS-2161</t>
        </is>
      </c>
      <c r="B663" t="inlineStr">
        <is>
          <t>Correia do ventilador P-36 desgastada</t>
        </is>
      </c>
      <c r="C663" t="inlineStr">
        <is>
          <t>Correia do ventilador P-36 com trincas visíveis e folga excessiva.</t>
        </is>
      </c>
      <c r="D663" t="inlineStr">
        <is>
          <t>Booster Parque das Águas</t>
        </is>
      </c>
      <c r="E663" t="inlineStr">
        <is>
          <t>Média</t>
        </is>
      </c>
      <c r="F663" t="inlineStr">
        <is>
          <t>Flávio Gusmão</t>
        </is>
      </c>
      <c r="G663" t="inlineStr">
        <is>
          <t>Fechada</t>
        </is>
      </c>
      <c r="H663" s="5" t="n">
        <v>45860.99097222222</v>
      </c>
    </row>
    <row r="664">
      <c r="A664" t="inlineStr">
        <is>
          <t>OS-2162</t>
        </is>
      </c>
      <c r="B664" t="inlineStr">
        <is>
          <t>Sensor de nível sem leitura no tanque A-05</t>
        </is>
      </c>
      <c r="C664" t="inlineStr">
        <is>
          <t>Supervisório mostra leitura congelada do sensor de nível do tanque A-05.</t>
        </is>
      </c>
      <c r="D664" t="inlineStr">
        <is>
          <t>Estação Elevatória Porto</t>
        </is>
      </c>
      <c r="E664" t="inlineStr">
        <is>
          <t>Média</t>
        </is>
      </c>
      <c r="F664" t="inlineStr">
        <is>
          <t>Murilo Paiva</t>
        </is>
      </c>
      <c r="G664" t="inlineStr">
        <is>
          <t>Fechada</t>
        </is>
      </c>
      <c r="H664" s="5" t="n">
        <v>45861.26458333333</v>
      </c>
    </row>
    <row r="665">
      <c r="A665" t="inlineStr">
        <is>
          <t>OS-2163</t>
        </is>
      </c>
      <c r="B665" t="inlineStr">
        <is>
          <t>Vazamento na bomba M-16</t>
        </is>
      </c>
      <c r="C665" t="inlineStr">
        <is>
          <t>Vazamento pelo selo mecânico da bomba M-16. Piso molhado ao redor da base.</t>
        </is>
      </c>
      <c r="D665" t="inlineStr">
        <is>
          <t>Estação Elevatória Leste</t>
        </is>
      </c>
      <c r="E665" t="inlineStr">
        <is>
          <t>Média</t>
        </is>
      </c>
      <c r="F665" t="inlineStr">
        <is>
          <t>Flávio Gusmão</t>
        </is>
      </c>
      <c r="G665" t="inlineStr">
        <is>
          <t>Fechada</t>
        </is>
      </c>
      <c r="H665" s="5" t="n">
        <v>45861.59305555555</v>
      </c>
    </row>
    <row r="666">
      <c r="A666" t="inlineStr">
        <is>
          <t>OS-2164</t>
        </is>
      </c>
      <c r="B666" t="inlineStr">
        <is>
          <t>Aquecimento no mancal do motor D-18</t>
        </is>
      </c>
      <c r="C666" t="inlineStr">
        <is>
          <t>Mancal do motor D-18 acima da temperatura usual na medição com termômetro infravermelho.</t>
        </is>
      </c>
      <c r="D666" t="inlineStr">
        <is>
          <t>Estação Elevatória Leste</t>
        </is>
      </c>
      <c r="E666" t="inlineStr">
        <is>
          <t>Média</t>
        </is>
      </c>
      <c r="F666" t="inlineStr">
        <is>
          <t>Flávio Gusmão</t>
        </is>
      </c>
      <c r="G666" t="inlineStr">
        <is>
          <t>Fechada</t>
        </is>
      </c>
      <c r="H666" s="5" t="n">
        <v>45861.86805555555</v>
      </c>
    </row>
    <row r="667">
      <c r="A667" t="inlineStr">
        <is>
          <t>OS-2165</t>
        </is>
      </c>
      <c r="B667" t="inlineStr">
        <is>
          <t>Tomada sem energia na sala T-04</t>
        </is>
      </c>
      <c r="C667" t="inlineStr">
        <is>
          <t>Tomada de serviço da sala T-04 sem tensão.</t>
        </is>
      </c>
      <c r="D667" t="inlineStr">
        <is>
          <t>Sede Administrativa</t>
        </is>
      </c>
      <c r="E667" t="inlineStr">
        <is>
          <t>Média</t>
        </is>
      </c>
      <c r="F667" t="inlineStr">
        <is>
          <t>Yara Medeiros</t>
        </is>
      </c>
      <c r="G667" t="inlineStr">
        <is>
          <t>Fechada</t>
        </is>
      </c>
      <c r="H667" s="5" t="n">
        <v>45862.20277777778</v>
      </c>
    </row>
    <row r="668">
      <c r="A668" t="inlineStr">
        <is>
          <t>OS-2166</t>
        </is>
      </c>
      <c r="B668" t="inlineStr">
        <is>
          <t>Bomba dosadora T-33 sem recalque</t>
        </is>
      </c>
      <c r="C668" t="inlineStr">
        <is>
          <t>Bomba dosadora T-33 liga mas não dosa. Mangueira sem obstrução aparente.</t>
        </is>
      </c>
      <c r="D668" t="inlineStr">
        <is>
          <t>Captação Lagoa Seca</t>
        </is>
      </c>
      <c r="E668" t="inlineStr">
        <is>
          <t>Média</t>
        </is>
      </c>
      <c r="F668" t="inlineStr">
        <is>
          <t>Thiago Bastos</t>
        </is>
      </c>
      <c r="G668" t="inlineStr">
        <is>
          <t>Fechada</t>
        </is>
      </c>
      <c r="H668" s="5" t="n">
        <v>45862.50972222222</v>
      </c>
    </row>
    <row r="669">
      <c r="A669" t="inlineStr">
        <is>
          <t>OS-2167</t>
        </is>
      </c>
      <c r="B669" t="inlineStr">
        <is>
          <t>Ar-condicionado da sala D-37 sem refrigerar</t>
        </is>
      </c>
      <c r="C669" t="inlineStr">
        <is>
          <t>Ar-condicionado da sala de painéis D-37 ligado sem refrigerar.</t>
        </is>
      </c>
      <c r="D669" t="inlineStr">
        <is>
          <t>Captação Lagoa Seca</t>
        </is>
      </c>
      <c r="E669" t="inlineStr">
        <is>
          <t>Média</t>
        </is>
      </c>
      <c r="F669" t="inlineStr">
        <is>
          <t>Bernardo Leal</t>
        </is>
      </c>
      <c r="G669" t="inlineStr">
        <is>
          <t>Fechada</t>
        </is>
      </c>
      <c r="H669" s="5" t="n">
        <v>45862.79791666667</v>
      </c>
    </row>
    <row r="670">
      <c r="A670" t="inlineStr">
        <is>
          <t>OS-2168</t>
        </is>
      </c>
      <c r="B670" t="inlineStr">
        <is>
          <t>Aquecimento no mancal do motor P-03</t>
        </is>
      </c>
      <c r="C670" t="inlineStr">
        <is>
          <t>Mancal do motor P-03 acima da temperatura usual na medição com termômetro infravermelho.</t>
        </is>
      </c>
      <c r="D670" t="inlineStr">
        <is>
          <t>Estação Elevatória Oeste</t>
        </is>
      </c>
      <c r="E670" t="inlineStr">
        <is>
          <t>Média</t>
        </is>
      </c>
      <c r="F670" t="inlineStr">
        <is>
          <t>Thiago Bastos</t>
        </is>
      </c>
      <c r="G670" t="inlineStr">
        <is>
          <t>Fechada</t>
        </is>
      </c>
      <c r="H670" s="5" t="n">
        <v>45863.10763888889</v>
      </c>
    </row>
    <row r="671">
      <c r="A671" t="inlineStr">
        <is>
          <t>OS-2169</t>
        </is>
      </c>
      <c r="B671" t="inlineStr">
        <is>
          <t>Correia do ventilador R-11 desgastada</t>
        </is>
      </c>
      <c r="C671" t="inlineStr">
        <is>
          <t>Correia do ventilador R-11 com trincas visíveis e folga excessiva.</t>
        </is>
      </c>
      <c r="D671" t="inlineStr">
        <is>
          <t>Subestação Leste</t>
        </is>
      </c>
      <c r="E671" t="inlineStr">
        <is>
          <t>Média</t>
        </is>
      </c>
      <c r="F671" t="inlineStr">
        <is>
          <t>Glória Sampaio</t>
        </is>
      </c>
      <c r="G671" t="inlineStr">
        <is>
          <t>Fechada</t>
        </is>
      </c>
      <c r="H671" s="5" t="n">
        <v>45863.43125</v>
      </c>
    </row>
    <row r="672">
      <c r="A672" t="inlineStr">
        <is>
          <t>OS-2170</t>
        </is>
      </c>
      <c r="B672" t="inlineStr">
        <is>
          <t>Lâmpada queimada na área E-17</t>
        </is>
      </c>
      <c r="C672" t="inlineStr">
        <is>
          <t>Iluminação da área E-17 sem funcionar. Reposição de lâmpada e conferência do reator.</t>
        </is>
      </c>
      <c r="D672" t="inlineStr">
        <is>
          <t>Base Operacional Litoral</t>
        </is>
      </c>
      <c r="E672" t="inlineStr">
        <is>
          <t>Alta</t>
        </is>
      </c>
      <c r="F672" t="inlineStr">
        <is>
          <t>Gabriel Matos</t>
        </is>
      </c>
      <c r="G672" t="inlineStr">
        <is>
          <t>Fechada</t>
        </is>
      </c>
      <c r="H672" s="5" t="n">
        <v>45863.73541666667</v>
      </c>
    </row>
    <row r="673">
      <c r="A673" t="inlineStr">
        <is>
          <t>OS-2171</t>
        </is>
      </c>
      <c r="B673" t="inlineStr">
        <is>
          <t>Aquecimento no mancal do motor T-13</t>
        </is>
      </c>
      <c r="C673" t="inlineStr">
        <is>
          <t>Mancal do motor T-13 acima da temperatura usual na medição com termômetro infravermelho.</t>
        </is>
      </c>
      <c r="D673" t="inlineStr">
        <is>
          <t>Captação Lagoa Seca</t>
        </is>
      </c>
      <c r="E673" t="inlineStr">
        <is>
          <t>Média</t>
        </is>
      </c>
      <c r="F673" t="inlineStr">
        <is>
          <t>Heloísa Barreto</t>
        </is>
      </c>
      <c r="G673" t="inlineStr">
        <is>
          <t>Fechada</t>
        </is>
      </c>
      <c r="H673" s="5" t="n">
        <v>45864.02013888889</v>
      </c>
    </row>
    <row r="674">
      <c r="A674" t="inlineStr">
        <is>
          <t>OS-2172</t>
        </is>
      </c>
      <c r="B674" t="inlineStr">
        <is>
          <t>Exaustor P-12 parado</t>
        </is>
      </c>
      <c r="C674" t="inlineStr">
        <is>
          <t>Exaustor P-12 não parte. Fusível íntegro.</t>
        </is>
      </c>
      <c r="D674" t="inlineStr">
        <is>
          <t>ETE Jardim Bela Vista</t>
        </is>
      </c>
      <c r="E674" t="inlineStr">
        <is>
          <t>Média</t>
        </is>
      </c>
      <c r="F674" t="inlineStr">
        <is>
          <t>Érica Andrade</t>
        </is>
      </c>
      <c r="G674" t="inlineStr">
        <is>
          <t>Fechada</t>
        </is>
      </c>
      <c r="H674" s="5" t="n">
        <v>45864.31111111111</v>
      </c>
    </row>
    <row r="675">
      <c r="A675" t="inlineStr">
        <is>
          <t>OS-2173</t>
        </is>
      </c>
      <c r="B675" t="inlineStr">
        <is>
          <t>Vazamento de óleo no redutor V-27</t>
        </is>
      </c>
      <c r="C675" t="inlineStr">
        <is>
          <t>Gotejamento de óleo no redutor V-27. Nível ainda dentro da faixa.</t>
        </is>
      </c>
      <c r="D675" t="inlineStr">
        <is>
          <t>ETE Jardim Bela Vista</t>
        </is>
      </c>
      <c r="E675" t="inlineStr">
        <is>
          <t>Média</t>
        </is>
      </c>
      <c r="F675" t="inlineStr">
        <is>
          <t>Murilo Paiva</t>
        </is>
      </c>
      <c r="G675" t="inlineStr">
        <is>
          <t>Fechada</t>
        </is>
      </c>
      <c r="H675" s="5" t="n">
        <v>45864.64236111111</v>
      </c>
    </row>
    <row r="676">
      <c r="A676" t="inlineStr">
        <is>
          <t>OS-2174</t>
        </is>
      </c>
      <c r="B676" t="inlineStr">
        <is>
          <t>Medidor de vazão G-35 com leitura instável</t>
        </is>
      </c>
      <c r="C676" t="inlineStr">
        <is>
          <t>Medidor de vazão G-35 oscila sem variação de processo.</t>
        </is>
      </c>
      <c r="D676" t="inlineStr">
        <is>
          <t>Subestação Leste</t>
        </is>
      </c>
      <c r="E676" t="inlineStr">
        <is>
          <t>Média</t>
        </is>
      </c>
      <c r="F676" t="inlineStr">
        <is>
          <t>Gabriel Matos</t>
        </is>
      </c>
      <c r="G676" t="inlineStr">
        <is>
          <t>Fechada</t>
        </is>
      </c>
      <c r="H676" s="5" t="n">
        <v>45864.93472222222</v>
      </c>
    </row>
    <row r="677">
      <c r="A677" t="inlineStr">
        <is>
          <t>OS-2175</t>
        </is>
      </c>
      <c r="B677" t="inlineStr">
        <is>
          <t>Exaustor R-09 parado</t>
        </is>
      </c>
      <c r="C677" t="inlineStr">
        <is>
          <t>Exaustor R-09 não parte. Fusível íntegro.</t>
        </is>
      </c>
      <c r="D677" t="inlineStr">
        <is>
          <t>Estação de Bombeamento Três Pontes</t>
        </is>
      </c>
      <c r="E677" t="inlineStr">
        <is>
          <t>Média</t>
        </is>
      </c>
      <c r="F677" t="inlineStr">
        <is>
          <t>Cíntia Freitas</t>
        </is>
      </c>
      <c r="G677" t="inlineStr">
        <is>
          <t>Fechada</t>
        </is>
      </c>
      <c r="H677" s="5" t="n">
        <v>45865.24027777778</v>
      </c>
    </row>
    <row r="678">
      <c r="A678" t="inlineStr">
        <is>
          <t>OS-2176</t>
        </is>
      </c>
      <c r="B678" t="inlineStr">
        <is>
          <t>Válvula M-27 não fecha por completo</t>
        </is>
      </c>
      <c r="C678" t="inlineStr">
        <is>
          <t>Válvula M-27 com passagem residual mesmo totalmente fechada. Possível desgaste da sede.</t>
        </is>
      </c>
      <c r="D678" t="inlineStr">
        <is>
          <t>Base Operacional Litoral</t>
        </is>
      </c>
      <c r="E678" t="inlineStr">
        <is>
          <t>Baixa</t>
        </is>
      </c>
      <c r="F678" t="inlineStr">
        <is>
          <t>Jonas Teles</t>
        </is>
      </c>
      <c r="G678" t="inlineStr">
        <is>
          <t>Fechada</t>
        </is>
      </c>
      <c r="H678" s="5" t="n">
        <v>45865.53888888889</v>
      </c>
    </row>
    <row r="679">
      <c r="A679" t="inlineStr">
        <is>
          <t>OS-2177</t>
        </is>
      </c>
      <c r="B679" t="inlineStr">
        <is>
          <t>Vazamento na bomba F-18</t>
        </is>
      </c>
      <c r="C679" t="inlineStr">
        <is>
          <t>Vazamento pelo selo mecânico da bomba F-18. Piso molhado ao redor da base.</t>
        </is>
      </c>
      <c r="D679" t="inlineStr">
        <is>
          <t>Reservatório Alto da Colina</t>
        </is>
      </c>
      <c r="E679" t="inlineStr">
        <is>
          <t>Média</t>
        </is>
      </c>
      <c r="F679" t="inlineStr">
        <is>
          <t>Glória Sampaio</t>
        </is>
      </c>
      <c r="G679" t="inlineStr">
        <is>
          <t>Fechada</t>
        </is>
      </c>
      <c r="H679" s="5" t="n">
        <v>45865.8375</v>
      </c>
    </row>
    <row r="680">
      <c r="A680" t="inlineStr">
        <is>
          <t>OS-2178</t>
        </is>
      </c>
      <c r="B680" t="inlineStr">
        <is>
          <t>Medidor de vazão E-34 com leitura instável</t>
        </is>
      </c>
      <c r="C680" t="inlineStr">
        <is>
          <t>Medidor de vazão E-34 oscila sem variação de processo.</t>
        </is>
      </c>
      <c r="D680" t="inlineStr">
        <is>
          <t>Sede Administrativa</t>
        </is>
      </c>
      <c r="E680" t="inlineStr">
        <is>
          <t>Média</t>
        </is>
      </c>
      <c r="F680" t="inlineStr">
        <is>
          <t>Marcos Vinícius Rocha</t>
        </is>
      </c>
      <c r="G680" t="inlineStr">
        <is>
          <t>Fechada</t>
        </is>
      </c>
      <c r="H680" s="5" t="n">
        <v>45866.1625</v>
      </c>
    </row>
    <row r="681">
      <c r="A681" t="inlineStr">
        <is>
          <t>OS-2179</t>
        </is>
      </c>
      <c r="B681" t="inlineStr">
        <is>
          <t>Calha entupida no prédio G-13</t>
        </is>
      </c>
      <c r="C681" t="inlineStr">
        <is>
          <t>Calha do prédio G-13 transbordando em dia de chuva.</t>
        </is>
      </c>
      <c r="D681" t="inlineStr">
        <is>
          <t>Usina Fotovoltaica Cerrado</t>
        </is>
      </c>
      <c r="E681" t="inlineStr">
        <is>
          <t>Média</t>
        </is>
      </c>
      <c r="F681" t="inlineStr">
        <is>
          <t>Érica Andrade</t>
        </is>
      </c>
      <c r="G681" t="inlineStr">
        <is>
          <t>Fechada</t>
        </is>
      </c>
      <c r="H681" s="5" t="n">
        <v>45866.46180555555</v>
      </c>
    </row>
    <row r="682">
      <c r="A682" t="inlineStr">
        <is>
          <t>OS-2180</t>
        </is>
      </c>
      <c r="B682" t="inlineStr">
        <is>
          <t>Lâmpada queimada na área P-16</t>
        </is>
      </c>
      <c r="C682" t="inlineStr">
        <is>
          <t>Iluminação da área P-16 sem funcionar. Reposição de lâmpada e conferência do reator.</t>
        </is>
      </c>
      <c r="D682" t="inlineStr">
        <is>
          <t>Captação Rio Verde</t>
        </is>
      </c>
      <c r="E682" t="inlineStr">
        <is>
          <t>Crítica</t>
        </is>
      </c>
      <c r="F682" t="inlineStr">
        <is>
          <t>Eduardo Salles</t>
        </is>
      </c>
      <c r="G682" t="inlineStr">
        <is>
          <t>Fechada</t>
        </is>
      </c>
      <c r="H682" s="5" t="n">
        <v>45866.75208333333</v>
      </c>
    </row>
    <row r="683">
      <c r="A683" t="inlineStr">
        <is>
          <t>OS-2181</t>
        </is>
      </c>
      <c r="B683" t="inlineStr">
        <is>
          <t>Falha de comunicação no CLP R-31</t>
        </is>
      </c>
      <c r="C683" t="inlineStr">
        <is>
          <t>CLP R-31 perde comunicação com o supervisório em intervalos irregulares.</t>
        </is>
      </c>
      <c r="D683" t="inlineStr">
        <is>
          <t>Adutora Tronco Sul</t>
        </is>
      </c>
      <c r="E683" t="inlineStr">
        <is>
          <t>Média</t>
        </is>
      </c>
      <c r="F683" t="inlineStr">
        <is>
          <t>Murilo Paiva</t>
        </is>
      </c>
      <c r="G683" t="inlineStr">
        <is>
          <t>Fechada</t>
        </is>
      </c>
      <c r="H683" s="5" t="n">
        <v>45867.06111111111</v>
      </c>
    </row>
    <row r="684">
      <c r="A684" t="inlineStr">
        <is>
          <t>OS-2182</t>
        </is>
      </c>
      <c r="B684" t="inlineStr">
        <is>
          <t>Pintura descascada na estrutura A-05</t>
        </is>
      </c>
      <c r="C684" t="inlineStr">
        <is>
          <t>Estrutura metálica A-05 com pontos de corrosão sob a pintura.</t>
        </is>
      </c>
      <c r="D684" t="inlineStr">
        <is>
          <t>Galpão de Materiais</t>
        </is>
      </c>
      <c r="E684" t="inlineStr">
        <is>
          <t>Média</t>
        </is>
      </c>
      <c r="F684" t="inlineStr">
        <is>
          <t>Alex Nogueira</t>
        </is>
      </c>
      <c r="G684" t="inlineStr">
        <is>
          <t>Fechada</t>
        </is>
      </c>
      <c r="H684" s="5" t="n">
        <v>45867.39583333334</v>
      </c>
    </row>
    <row r="685">
      <c r="A685" t="inlineStr">
        <is>
          <t>OS-2183</t>
        </is>
      </c>
      <c r="B685" t="inlineStr">
        <is>
          <t>Tomada sem energia na sala H-33</t>
        </is>
      </c>
      <c r="C685" t="inlineStr">
        <is>
          <t>Tomada de serviço da sala H-33 sem tensão.</t>
        </is>
      </c>
      <c r="D685" t="inlineStr">
        <is>
          <t>Base Operacional Serra</t>
        </is>
      </c>
      <c r="E685" t="inlineStr">
        <is>
          <t>Média</t>
        </is>
      </c>
      <c r="F685" t="inlineStr">
        <is>
          <t>Fernanda Quintela</t>
        </is>
      </c>
      <c r="G685" t="inlineStr">
        <is>
          <t>Fechada</t>
        </is>
      </c>
      <c r="H685" s="5" t="n">
        <v>45867.67222222222</v>
      </c>
    </row>
    <row r="686">
      <c r="A686" t="inlineStr">
        <is>
          <t>OS-2184</t>
        </is>
      </c>
      <c r="B686" t="inlineStr">
        <is>
          <t>Portão da área V-38 emperrado</t>
        </is>
      </c>
      <c r="C686" t="inlineStr">
        <is>
          <t>Portão de acesso da área V-38 exige força excessiva para abrir.</t>
        </is>
      </c>
      <c r="D686" t="inlineStr">
        <is>
          <t>Base Operacional Litoral</t>
        </is>
      </c>
      <c r="E686" t="inlineStr">
        <is>
          <t>Crítica</t>
        </is>
      </c>
      <c r="F686" t="inlineStr">
        <is>
          <t>Thiago Bastos</t>
        </is>
      </c>
      <c r="G686" t="inlineStr">
        <is>
          <t>Fechada</t>
        </is>
      </c>
      <c r="H686" s="5" t="n">
        <v>45868.01041666666</v>
      </c>
    </row>
    <row r="687">
      <c r="A687" t="inlineStr">
        <is>
          <t>OS-2185</t>
        </is>
      </c>
      <c r="B687" t="inlineStr">
        <is>
          <t>Pintura descascada na estrutura C-02</t>
        </is>
      </c>
      <c r="C687" t="inlineStr">
        <is>
          <t>Estrutura metálica C-02 com pontos de corrosão sob a pintura.</t>
        </is>
      </c>
      <c r="D687" t="inlineStr">
        <is>
          <t>Base Operacional Norte</t>
        </is>
      </c>
      <c r="E687" t="inlineStr">
        <is>
          <t>Média</t>
        </is>
      </c>
      <c r="F687" t="inlineStr">
        <is>
          <t>Beatriz Farias</t>
        </is>
      </c>
      <c r="G687" t="inlineStr">
        <is>
          <t>Fechada</t>
        </is>
      </c>
      <c r="H687" s="5" t="n">
        <v>45868.30486111111</v>
      </c>
    </row>
    <row r="688">
      <c r="A688" t="inlineStr">
        <is>
          <t>OS-2186</t>
        </is>
      </c>
      <c r="B688" t="inlineStr">
        <is>
          <t>Exaustor H-31 parado</t>
        </is>
      </c>
      <c r="C688" t="inlineStr">
        <is>
          <t>Exaustor H-31 não parte. Fusível íntegro.</t>
        </is>
      </c>
      <c r="D688" t="inlineStr">
        <is>
          <t>Subestação Sul</t>
        </is>
      </c>
      <c r="E688" t="inlineStr">
        <is>
          <t>Baixa</t>
        </is>
      </c>
      <c r="F688" t="inlineStr">
        <is>
          <t>Bernardo Leal</t>
        </is>
      </c>
      <c r="G688" t="inlineStr">
        <is>
          <t>Fechada</t>
        </is>
      </c>
      <c r="H688" s="5" t="n">
        <v>45868.61944444444</v>
      </c>
    </row>
    <row r="689">
      <c r="A689" t="inlineStr">
        <is>
          <t>OS-2187</t>
        </is>
      </c>
      <c r="B689" t="inlineStr">
        <is>
          <t>Falha de comunicação no CLP F-36</t>
        </is>
      </c>
      <c r="C689" t="inlineStr">
        <is>
          <t>CLP F-36 perde comunicação com o supervisório em intervalos irregulares.</t>
        </is>
      </c>
      <c r="D689" t="inlineStr">
        <is>
          <t>ETE Vale do Sol</t>
        </is>
      </c>
      <c r="E689" t="inlineStr">
        <is>
          <t>Baixa</t>
        </is>
      </c>
      <c r="F689" t="inlineStr">
        <is>
          <t>Heloísa Barreto</t>
        </is>
      </c>
      <c r="G689" t="inlineStr">
        <is>
          <t>Fechada</t>
        </is>
      </c>
      <c r="H689" s="5" t="n">
        <v>45868.88541666666</v>
      </c>
    </row>
    <row r="690">
      <c r="A690" t="inlineStr">
        <is>
          <t>OS-2188</t>
        </is>
      </c>
      <c r="B690" t="inlineStr">
        <is>
          <t>Sensor de nível sem leitura no tanque A-10</t>
        </is>
      </c>
      <c r="C690" t="inlineStr">
        <is>
          <t>Supervisório mostra leitura congelada do sensor de nível do tanque A-10.</t>
        </is>
      </c>
      <c r="D690" t="inlineStr">
        <is>
          <t>Subestação Leste</t>
        </is>
      </c>
      <c r="E690" t="inlineStr">
        <is>
          <t>Alta</t>
        </is>
      </c>
      <c r="F690" t="inlineStr">
        <is>
          <t>Alex Nogueira</t>
        </is>
      </c>
      <c r="G690" t="inlineStr">
        <is>
          <t>Fechada</t>
        </is>
      </c>
      <c r="H690" s="5" t="n">
        <v>45869.21388888889</v>
      </c>
    </row>
    <row r="691">
      <c r="A691" t="inlineStr">
        <is>
          <t>OS-2189</t>
        </is>
      </c>
      <c r="B691" t="inlineStr">
        <is>
          <t>Calha entupida no prédio D-02</t>
        </is>
      </c>
      <c r="C691" t="inlineStr">
        <is>
          <t>Calha do prédio D-02 transbordando em dia de chuva.</t>
        </is>
      </c>
      <c r="D691" t="inlineStr">
        <is>
          <t>Oficina Elétrica Central</t>
        </is>
      </c>
      <c r="E691" t="inlineStr">
        <is>
          <t>Média</t>
        </is>
      </c>
      <c r="F691" t="inlineStr">
        <is>
          <t>Hugo Albuquerque</t>
        </is>
      </c>
      <c r="G691" t="inlineStr">
        <is>
          <t>Fechada</t>
        </is>
      </c>
      <c r="H691" s="5" t="n">
        <v>45869.49791666667</v>
      </c>
    </row>
    <row r="692">
      <c r="A692" t="inlineStr">
        <is>
          <t>OS-2190</t>
        </is>
      </c>
      <c r="B692" t="inlineStr">
        <is>
          <t>Tomada sem energia na sala E-11</t>
        </is>
      </c>
      <c r="C692" t="inlineStr">
        <is>
          <t>Tomada de serviço da sala E-11 sem tensão.</t>
        </is>
      </c>
      <c r="D692" t="inlineStr">
        <is>
          <t>Reservatório Industrial</t>
        </is>
      </c>
      <c r="E692" t="inlineStr">
        <is>
          <t>Crítica</t>
        </is>
      </c>
      <c r="F692" t="inlineStr">
        <is>
          <t>Hugo Albuquerque</t>
        </is>
      </c>
      <c r="G692" t="inlineStr">
        <is>
          <t>Fechada</t>
        </is>
      </c>
      <c r="H692" s="5" t="n">
        <v>45869.83611111111</v>
      </c>
    </row>
    <row r="693">
      <c r="A693" t="inlineStr">
        <is>
          <t>OS-2191</t>
        </is>
      </c>
      <c r="B693" t="inlineStr">
        <is>
          <t>Troca de filtro do compressor D-29</t>
        </is>
      </c>
      <c r="C693" t="inlineStr">
        <is>
          <t>Filtro de ar do compressor D-29 saturado. Substituição preventiva.</t>
        </is>
      </c>
      <c r="D693" t="inlineStr">
        <is>
          <t>Base Operacional Sul</t>
        </is>
      </c>
      <c r="E693" t="inlineStr">
        <is>
          <t>Média</t>
        </is>
      </c>
      <c r="F693" t="inlineStr">
        <is>
          <t>Zeca Moraes</t>
        </is>
      </c>
      <c r="G693" t="inlineStr">
        <is>
          <t>Fechada</t>
        </is>
      </c>
      <c r="H693" s="5" t="n">
        <v>45870.14236111111</v>
      </c>
    </row>
    <row r="694">
      <c r="A694" t="inlineStr">
        <is>
          <t>OS-2192</t>
        </is>
      </c>
      <c r="B694" t="inlineStr">
        <is>
          <t>Correia do ventilador H-38 desgastada</t>
        </is>
      </c>
      <c r="C694" t="inlineStr">
        <is>
          <t>Correia do ventilador H-38 com trincas visíveis e folga excessiva.</t>
        </is>
      </c>
      <c r="D694" t="inlineStr">
        <is>
          <t>Reservatório Industrial</t>
        </is>
      </c>
      <c r="E694" t="inlineStr">
        <is>
          <t>Baixa</t>
        </is>
      </c>
      <c r="F694" t="inlineStr">
        <is>
          <t>Flávio Gusmão</t>
        </is>
      </c>
      <c r="G694" t="inlineStr">
        <is>
          <t>Fechada</t>
        </is>
      </c>
      <c r="H694" s="5" t="n">
        <v>45870.43125</v>
      </c>
    </row>
    <row r="695">
      <c r="A695" t="inlineStr">
        <is>
          <t>OS-2193</t>
        </is>
      </c>
      <c r="B695" t="inlineStr">
        <is>
          <t>Infiltração na parede da casa de bombas E-08</t>
        </is>
      </c>
      <c r="C695" t="inlineStr">
        <is>
          <t>Mancha de umidade crescente na parede da casa de bombas E-08.</t>
        </is>
      </c>
      <c r="D695" t="inlineStr">
        <is>
          <t>Adutora Tronco Sul</t>
        </is>
      </c>
      <c r="E695" t="inlineStr">
        <is>
          <t>Média</t>
        </is>
      </c>
      <c r="F695" t="inlineStr">
        <is>
          <t>Alex Nogueira</t>
        </is>
      </c>
      <c r="G695" t="inlineStr">
        <is>
          <t>Fechada</t>
        </is>
      </c>
      <c r="H695" s="5" t="n">
        <v>45870.72986111111</v>
      </c>
    </row>
    <row r="696">
      <c r="A696" t="inlineStr">
        <is>
          <t>OS-2194</t>
        </is>
      </c>
      <c r="B696" t="inlineStr">
        <is>
          <t>Válvula E-21 não fecha por completo</t>
        </is>
      </c>
      <c r="C696" t="inlineStr">
        <is>
          <t>Válvula E-21 com passagem residual mesmo totalmente fechada. Possível desgaste da sede.</t>
        </is>
      </c>
      <c r="D696" t="inlineStr">
        <is>
          <t>Booster Morada do Sol</t>
        </is>
      </c>
      <c r="E696" t="inlineStr">
        <is>
          <t>Baixa</t>
        </is>
      </c>
      <c r="F696" t="inlineStr">
        <is>
          <t>Larissa Bezerra</t>
        </is>
      </c>
      <c r="G696" t="inlineStr">
        <is>
          <t>Fechada</t>
        </is>
      </c>
      <c r="H696" s="5" t="n">
        <v>45871.04861111111</v>
      </c>
    </row>
    <row r="697">
      <c r="A697" t="inlineStr">
        <is>
          <t>OS-2195</t>
        </is>
      </c>
      <c r="B697" t="inlineStr">
        <is>
          <t>Calha entupida no prédio M-03</t>
        </is>
      </c>
      <c r="C697" t="inlineStr">
        <is>
          <t>Calha do prédio M-03 transbordando em dia de chuva.</t>
        </is>
      </c>
      <c r="D697" t="inlineStr">
        <is>
          <t>ETE Jardim Bela Vista</t>
        </is>
      </c>
      <c r="E697" t="inlineStr">
        <is>
          <t>Média</t>
        </is>
      </c>
      <c r="F697" t="inlineStr">
        <is>
          <t>Heloísa Barreto</t>
        </is>
      </c>
      <c r="G697" t="inlineStr">
        <is>
          <t>Fechada</t>
        </is>
      </c>
      <c r="H697" s="5" t="n">
        <v>45871.35416666666</v>
      </c>
    </row>
    <row r="698">
      <c r="A698" t="inlineStr">
        <is>
          <t>OS-2196</t>
        </is>
      </c>
      <c r="B698" t="inlineStr">
        <is>
          <t>Vazamento na bomba R-35</t>
        </is>
      </c>
      <c r="C698" t="inlineStr">
        <is>
          <t>Vazamento pelo selo mecânico da bomba R-35. Piso molhado ao redor da base.</t>
        </is>
      </c>
      <c r="D698" t="inlineStr">
        <is>
          <t>Booster Parque das Águas</t>
        </is>
      </c>
      <c r="E698" t="inlineStr">
        <is>
          <t>Média</t>
        </is>
      </c>
      <c r="F698" t="inlineStr">
        <is>
          <t>Caio Rangel</t>
        </is>
      </c>
      <c r="G698" t="inlineStr">
        <is>
          <t>Fechada</t>
        </is>
      </c>
      <c r="H698" s="5" t="n">
        <v>45871.64236111111</v>
      </c>
    </row>
    <row r="699">
      <c r="A699" t="inlineStr">
        <is>
          <t>OS-2197</t>
        </is>
      </c>
      <c r="B699" t="inlineStr">
        <is>
          <t>Válvula R-35 não fecha por completo</t>
        </is>
      </c>
      <c r="C699" t="inlineStr">
        <is>
          <t>Válvula R-35 com passagem residual mesmo totalmente fechada. Possível desgaste da sede.</t>
        </is>
      </c>
      <c r="D699" t="inlineStr">
        <is>
          <t>Base Operacional Norte</t>
        </is>
      </c>
      <c r="E699" t="inlineStr">
        <is>
          <t>Alta</t>
        </is>
      </c>
      <c r="F699" t="inlineStr">
        <is>
          <t>Beatriz Farias</t>
        </is>
      </c>
      <c r="G699" t="inlineStr">
        <is>
          <t>Fechada</t>
        </is>
      </c>
      <c r="H699" s="5" t="n">
        <v>45871.97569444445</v>
      </c>
    </row>
    <row r="700">
      <c r="A700" t="inlineStr">
        <is>
          <t>OS-2198</t>
        </is>
      </c>
      <c r="B700" t="inlineStr">
        <is>
          <t>Aquecimento no mancal do motor A-08</t>
        </is>
      </c>
      <c r="C700" t="inlineStr">
        <is>
          <t>Mancal do motor A-08 acima da temperatura usual na medição com termômetro infravermelho.</t>
        </is>
      </c>
      <c r="D700" t="inlineStr">
        <is>
          <t>Booster Morada do Sol</t>
        </is>
      </c>
      <c r="E700" t="inlineStr">
        <is>
          <t>Alta</t>
        </is>
      </c>
      <c r="F700" t="inlineStr">
        <is>
          <t>Bernardo Leal</t>
        </is>
      </c>
      <c r="G700" t="inlineStr">
        <is>
          <t>Fechada</t>
        </is>
      </c>
      <c r="H700" s="5" t="n">
        <v>45872.25138888889</v>
      </c>
    </row>
    <row r="701">
      <c r="A701" t="inlineStr">
        <is>
          <t>OS-2199</t>
        </is>
      </c>
      <c r="B701" t="inlineStr">
        <is>
          <t>Falha de comunicação no CLP G-14</t>
        </is>
      </c>
      <c r="C701" t="inlineStr">
        <is>
          <t>CLP G-14 perde comunicação com o supervisório em intervalos irregulares.</t>
        </is>
      </c>
      <c r="D701" t="inlineStr">
        <is>
          <t>ETA Ribeirão Fundo</t>
        </is>
      </c>
      <c r="E701" t="inlineStr">
        <is>
          <t>Média</t>
        </is>
      </c>
      <c r="F701" t="inlineStr">
        <is>
          <t>Yara Medeiros</t>
        </is>
      </c>
      <c r="G701" t="inlineStr">
        <is>
          <t>Fechada</t>
        </is>
      </c>
      <c r="H701" s="5" t="n">
        <v>45872.58402777778</v>
      </c>
    </row>
    <row r="702">
      <c r="A702" t="inlineStr">
        <is>
          <t>OS-2200</t>
        </is>
      </c>
      <c r="B702" t="inlineStr">
        <is>
          <t>Ar-condicionado da sala C-25 sem refrigerar</t>
        </is>
      </c>
      <c r="C702" t="inlineStr">
        <is>
          <t>Ar-condicionado da sala de painéis C-25 ligado sem refrigerar.</t>
        </is>
      </c>
      <c r="D702" t="inlineStr">
        <is>
          <t>Almoxarifado Central</t>
        </is>
      </c>
      <c r="E702" t="inlineStr">
        <is>
          <t>Média</t>
        </is>
      </c>
      <c r="F702" t="inlineStr">
        <is>
          <t>Cíntia Freitas</t>
        </is>
      </c>
      <c r="G702" t="inlineStr">
        <is>
          <t>Fechada</t>
        </is>
      </c>
      <c r="H702" s="5" t="n">
        <v>45872.87569444445</v>
      </c>
    </row>
    <row r="703">
      <c r="A703" t="inlineStr">
        <is>
          <t>OS-2201</t>
        </is>
      </c>
      <c r="B703" t="inlineStr">
        <is>
          <t>Disjuntor desarmando no painel C-34</t>
        </is>
      </c>
      <c r="C703" t="inlineStr">
        <is>
          <t>Disjuntor do painel C-34 desarmou três vezes no turno. Carga dentro do nominal.</t>
        </is>
      </c>
      <c r="D703" t="inlineStr">
        <is>
          <t>ETA Central</t>
        </is>
      </c>
      <c r="E703" t="inlineStr">
        <is>
          <t>Média</t>
        </is>
      </c>
      <c r="F703" t="inlineStr">
        <is>
          <t>Eduardo Salles</t>
        </is>
      </c>
      <c r="G703" t="inlineStr">
        <is>
          <t>Fechada</t>
        </is>
      </c>
      <c r="H703" s="5" t="n">
        <v>45873.19583333333</v>
      </c>
    </row>
    <row r="704">
      <c r="A704" t="inlineStr">
        <is>
          <t>OS-2202</t>
        </is>
      </c>
      <c r="B704" t="inlineStr">
        <is>
          <t>Exaustor A-38 parado</t>
        </is>
      </c>
      <c r="C704" t="inlineStr">
        <is>
          <t>Exaustor A-38 não parte. Fusível íntegro.</t>
        </is>
      </c>
      <c r="D704" t="inlineStr">
        <is>
          <t>Torre de Telecomunicação Morro Alto</t>
        </is>
      </c>
      <c r="E704" t="inlineStr">
        <is>
          <t>Baixa</t>
        </is>
      </c>
      <c r="F704" t="inlineStr">
        <is>
          <t>Úrsula Maia</t>
        </is>
      </c>
      <c r="G704" t="inlineStr">
        <is>
          <t>Fechada</t>
        </is>
      </c>
      <c r="H704" s="5" t="n">
        <v>45873.47777777778</v>
      </c>
    </row>
    <row r="705">
      <c r="A705" t="inlineStr">
        <is>
          <t>OS-2203</t>
        </is>
      </c>
      <c r="B705" t="inlineStr">
        <is>
          <t>Vazamento na bomba H-10</t>
        </is>
      </c>
      <c r="C705" t="inlineStr">
        <is>
          <t>Vazamento pelo selo mecânico da bomba H-10. Piso molhado ao redor da base.</t>
        </is>
      </c>
      <c r="D705" t="inlineStr">
        <is>
          <t>Subestação Norte</t>
        </is>
      </c>
      <c r="E705" t="inlineStr">
        <is>
          <t>Baixa</t>
        </is>
      </c>
      <c r="F705" t="inlineStr">
        <is>
          <t>Hugo Albuquerque</t>
        </is>
      </c>
      <c r="G705" t="inlineStr">
        <is>
          <t>Fechada</t>
        </is>
      </c>
      <c r="H705" s="5" t="n">
        <v>45873.78611111111</v>
      </c>
    </row>
    <row r="706">
      <c r="A706" t="inlineStr">
        <is>
          <t>OS-2204</t>
        </is>
      </c>
      <c r="B706" t="inlineStr">
        <is>
          <t>Correia do ventilador E-15 desgastada</t>
        </is>
      </c>
      <c r="C706" t="inlineStr">
        <is>
          <t>Correia do ventilador E-15 com trincas visíveis e folga excessiva.</t>
        </is>
      </c>
      <c r="D706" t="inlineStr">
        <is>
          <t>Almoxarifado Central</t>
        </is>
      </c>
      <c r="E706" t="inlineStr">
        <is>
          <t>Média</t>
        </is>
      </c>
      <c r="F706" t="inlineStr">
        <is>
          <t>Heloísa Barreto</t>
        </is>
      </c>
      <c r="G706" t="inlineStr">
        <is>
          <t>Fechada</t>
        </is>
      </c>
      <c r="H706" s="5" t="n">
        <v>45874.09791666667</v>
      </c>
    </row>
    <row r="707">
      <c r="A707" t="inlineStr">
        <is>
          <t>OS-2205</t>
        </is>
      </c>
      <c r="B707" t="inlineStr">
        <is>
          <t>Falha de comunicação no CLP T-10</t>
        </is>
      </c>
      <c r="C707" t="inlineStr">
        <is>
          <t>CLP T-10 perde comunicação com o supervisório em intervalos irregulares.</t>
        </is>
      </c>
      <c r="D707" t="inlineStr">
        <is>
          <t>Sede Administrativa</t>
        </is>
      </c>
      <c r="E707" t="inlineStr">
        <is>
          <t>Baixa</t>
        </is>
      </c>
      <c r="F707" t="inlineStr">
        <is>
          <t>Beatriz Farias</t>
        </is>
      </c>
      <c r="G707" t="inlineStr">
        <is>
          <t>Fechada</t>
        </is>
      </c>
      <c r="H707" s="5" t="n">
        <v>45874.41111111111</v>
      </c>
    </row>
    <row r="708">
      <c r="A708" t="inlineStr">
        <is>
          <t>OS-2206</t>
        </is>
      </c>
      <c r="B708" t="inlineStr">
        <is>
          <t>Correia do ventilador G-28 desgastada</t>
        </is>
      </c>
      <c r="C708" t="inlineStr">
        <is>
          <t>Correia do ventilador G-28 com trincas visíveis e folga excessiva.</t>
        </is>
      </c>
      <c r="D708" t="inlineStr">
        <is>
          <t>Reservatório Industrial</t>
        </is>
      </c>
      <c r="E708" t="inlineStr">
        <is>
          <t>Alta</t>
        </is>
      </c>
      <c r="F708" t="inlineStr">
        <is>
          <t>Eduardo Salles</t>
        </is>
      </c>
      <c r="G708" t="inlineStr">
        <is>
          <t>Fechada</t>
        </is>
      </c>
      <c r="H708" s="5" t="n">
        <v>45874.71736111111</v>
      </c>
    </row>
    <row r="709">
      <c r="A709" t="inlineStr">
        <is>
          <t>OS-2207</t>
        </is>
      </c>
      <c r="B709" t="inlineStr">
        <is>
          <t>Infiltração na parede da casa de bombas M-39</t>
        </is>
      </c>
      <c r="C709" t="inlineStr">
        <is>
          <t>Mancha de umidade crescente na parede da casa de bombas M-39.</t>
        </is>
      </c>
      <c r="D709" t="inlineStr">
        <is>
          <t>Subestação Oeste</t>
        </is>
      </c>
      <c r="E709" t="inlineStr">
        <is>
          <t>Crítica</t>
        </is>
      </c>
      <c r="F709" t="inlineStr">
        <is>
          <t>Zeca Moraes</t>
        </is>
      </c>
      <c r="G709" t="inlineStr">
        <is>
          <t>Fechada</t>
        </is>
      </c>
      <c r="H709" s="5" t="n">
        <v>45874.99791666667</v>
      </c>
    </row>
    <row r="710">
      <c r="A710" t="inlineStr">
        <is>
          <t>OS-2208</t>
        </is>
      </c>
      <c r="B710" t="inlineStr">
        <is>
          <t>Disjuntor desarmando no painel M-12</t>
        </is>
      </c>
      <c r="C710" t="inlineStr">
        <is>
          <t>Disjuntor do painel M-12 desarmou três vezes no turno. Carga dentro do nominal.</t>
        </is>
      </c>
      <c r="D710" t="inlineStr">
        <is>
          <t>Usina Fotovoltaica Planalto</t>
        </is>
      </c>
      <c r="E710" t="inlineStr">
        <is>
          <t>Crítica</t>
        </is>
      </c>
      <c r="F710" t="inlineStr">
        <is>
          <t>Hugo Albuquerque</t>
        </is>
      </c>
      <c r="G710" t="inlineStr">
        <is>
          <t>Fechada</t>
        </is>
      </c>
      <c r="H710" s="5" t="n">
        <v>45875.30416666667</v>
      </c>
    </row>
    <row r="711">
      <c r="A711" t="inlineStr">
        <is>
          <t>OS-2209</t>
        </is>
      </c>
      <c r="B711" t="inlineStr">
        <is>
          <t>Bomba dosadora H-28 sem recalque</t>
        </is>
      </c>
      <c r="C711" t="inlineStr">
        <is>
          <t>Bomba dosadora H-28 liga mas não dosa. Mangueira sem obstrução aparente.</t>
        </is>
      </c>
      <c r="D711" t="inlineStr">
        <is>
          <t>Estação Elevatória Porto</t>
        </is>
      </c>
      <c r="E711" t="inlineStr">
        <is>
          <t>Alta</t>
        </is>
      </c>
      <c r="F711" t="inlineStr">
        <is>
          <t>Alex Nogueira</t>
        </is>
      </c>
      <c r="G711" t="inlineStr">
        <is>
          <t>Fechada</t>
        </is>
      </c>
      <c r="H711" s="5" t="n">
        <v>45875.63333333333</v>
      </c>
    </row>
    <row r="712">
      <c r="A712" t="inlineStr">
        <is>
          <t>OS-2210</t>
        </is>
      </c>
      <c r="B712" t="inlineStr">
        <is>
          <t>Válvula T-36 não fecha por completo</t>
        </is>
      </c>
      <c r="C712" t="inlineStr">
        <is>
          <t>Válvula T-36 com passagem residual mesmo totalmente fechada. Possível desgaste da sede.</t>
        </is>
      </c>
      <c r="D712" t="inlineStr">
        <is>
          <t>Base Operacional Litoral</t>
        </is>
      </c>
      <c r="E712" t="inlineStr">
        <is>
          <t>Média</t>
        </is>
      </c>
      <c r="F712" t="inlineStr">
        <is>
          <t>Natália Cordeiro</t>
        </is>
      </c>
      <c r="G712" t="inlineStr">
        <is>
          <t>Fechada</t>
        </is>
      </c>
      <c r="H712" s="5" t="n">
        <v>45875.93611111111</v>
      </c>
    </row>
    <row r="713">
      <c r="A713" t="inlineStr">
        <is>
          <t>OS-2211</t>
        </is>
      </c>
      <c r="B713" t="inlineStr">
        <is>
          <t>Troca de filtro do compressor M-01</t>
        </is>
      </c>
      <c r="C713" t="inlineStr">
        <is>
          <t>Filtro de ar do compressor M-01 saturado. Substituição preventiva.</t>
        </is>
      </c>
      <c r="D713" t="inlineStr">
        <is>
          <t>Estação de Bombeamento Três Pontes</t>
        </is>
      </c>
      <c r="E713" t="inlineStr">
        <is>
          <t>Média</t>
        </is>
      </c>
      <c r="F713" t="inlineStr">
        <is>
          <t>Eduardo Salles</t>
        </is>
      </c>
      <c r="G713" t="inlineStr">
        <is>
          <t>Fechada</t>
        </is>
      </c>
      <c r="H713" s="5" t="n">
        <v>45876.24305555555</v>
      </c>
    </row>
    <row r="714">
      <c r="A714" t="inlineStr">
        <is>
          <t>OS-2212</t>
        </is>
      </c>
      <c r="B714" t="inlineStr">
        <is>
          <t>Aquecimento no mancal do motor G-35</t>
        </is>
      </c>
      <c r="C714" t="inlineStr">
        <is>
          <t>Mancal do motor G-35 acima da temperatura usual na medição com termômetro infravermelho.</t>
        </is>
      </c>
      <c r="D714" t="inlineStr">
        <is>
          <t>Booster Morada do Sol</t>
        </is>
      </c>
      <c r="E714" t="inlineStr">
        <is>
          <t>Crítica</t>
        </is>
      </c>
      <c r="F714" t="inlineStr">
        <is>
          <t>Eduardo Salles</t>
        </is>
      </c>
      <c r="G714" t="inlineStr">
        <is>
          <t>Fechada</t>
        </is>
      </c>
      <c r="H714" s="5" t="n">
        <v>45876.53611111111</v>
      </c>
    </row>
    <row r="715">
      <c r="A715" t="inlineStr">
        <is>
          <t>OS-2213</t>
        </is>
      </c>
      <c r="B715" t="inlineStr">
        <is>
          <t>Correia do ventilador E-22 desgastada</t>
        </is>
      </c>
      <c r="C715" t="inlineStr">
        <is>
          <t>Correia do ventilador E-22 com trincas visíveis e folga excessiva.</t>
        </is>
      </c>
      <c r="D715" t="inlineStr">
        <is>
          <t>Oficina Mecânica Central</t>
        </is>
      </c>
      <c r="E715" t="inlineStr">
        <is>
          <t>Média</t>
        </is>
      </c>
      <c r="F715" t="inlineStr">
        <is>
          <t>Eduardo Salles</t>
        </is>
      </c>
      <c r="G715" t="inlineStr">
        <is>
          <t>Fechada</t>
        </is>
      </c>
      <c r="H715" s="5" t="n">
        <v>45876.83680555555</v>
      </c>
    </row>
    <row r="716">
      <c r="A716" t="inlineStr">
        <is>
          <t>OS-2214</t>
        </is>
      </c>
      <c r="B716" t="inlineStr">
        <is>
          <t>Aquecimento no mancal do motor R-09</t>
        </is>
      </c>
      <c r="C716" t="inlineStr">
        <is>
          <t>Mancal do motor R-09 acima da temperatura usual na medição com termômetro infravermelho.</t>
        </is>
      </c>
      <c r="D716" t="inlineStr">
        <is>
          <t>Adutora Tronco Norte</t>
        </is>
      </c>
      <c r="E716" t="inlineStr">
        <is>
          <t>Média</t>
        </is>
      </c>
      <c r="F716" t="inlineStr">
        <is>
          <t>Thiago Bastos</t>
        </is>
      </c>
      <c r="G716" t="inlineStr">
        <is>
          <t>Fechada</t>
        </is>
      </c>
      <c r="H716" s="5" t="n">
        <v>45877.13263888889</v>
      </c>
    </row>
    <row r="717">
      <c r="A717" t="inlineStr">
        <is>
          <t>OS-2215</t>
        </is>
      </c>
      <c r="B717" t="inlineStr">
        <is>
          <t>Sensor de nível sem leitura no tanque H-01</t>
        </is>
      </c>
      <c r="C717" t="inlineStr">
        <is>
          <t>Supervisório mostra leitura congelada do sensor de nível do tanque H-01.</t>
        </is>
      </c>
      <c r="D717" t="inlineStr">
        <is>
          <t>Subestação Leste</t>
        </is>
      </c>
      <c r="E717" t="inlineStr">
        <is>
          <t>Baixa</t>
        </is>
      </c>
      <c r="F717" t="inlineStr">
        <is>
          <t>Zeca Moraes</t>
        </is>
      </c>
      <c r="G717" t="inlineStr">
        <is>
          <t>Fechada</t>
        </is>
      </c>
      <c r="H717" s="5" t="n">
        <v>45877.46111111111</v>
      </c>
    </row>
    <row r="718">
      <c r="A718" t="inlineStr">
        <is>
          <t>OS-2216</t>
        </is>
      </c>
      <c r="B718" t="inlineStr">
        <is>
          <t>Válvula M-24 não fecha por completo</t>
        </is>
      </c>
      <c r="C718" t="inlineStr">
        <is>
          <t>Válvula M-24 com passagem residual mesmo totalmente fechada. Possível desgaste da sede.</t>
        </is>
      </c>
      <c r="D718" t="inlineStr">
        <is>
          <t>Reservatório Alto da Colina</t>
        </is>
      </c>
      <c r="E718" t="inlineStr">
        <is>
          <t>Baixa</t>
        </is>
      </c>
      <c r="F718" t="inlineStr">
        <is>
          <t>Heloísa Barreto</t>
        </is>
      </c>
      <c r="G718" t="inlineStr">
        <is>
          <t>Fechada</t>
        </is>
      </c>
      <c r="H718" s="5" t="n">
        <v>45877.75416666667</v>
      </c>
    </row>
    <row r="719">
      <c r="A719" t="inlineStr">
        <is>
          <t>OS-2217</t>
        </is>
      </c>
      <c r="B719" t="inlineStr">
        <is>
          <t>Infiltração na parede da casa de bombas V-14</t>
        </is>
      </c>
      <c r="C719" t="inlineStr">
        <is>
          <t>Mancha de umidade crescente na parede da casa de bombas V-14.</t>
        </is>
      </c>
      <c r="D719" t="inlineStr">
        <is>
          <t>Base Operacional Serra</t>
        </is>
      </c>
      <c r="E719" t="inlineStr">
        <is>
          <t>Baixa</t>
        </is>
      </c>
      <c r="F719" t="inlineStr">
        <is>
          <t>Simone Carvalho</t>
        </is>
      </c>
      <c r="G719" t="inlineStr">
        <is>
          <t>Fechada</t>
        </is>
      </c>
      <c r="H719" s="5" t="n">
        <v>45878.04652777778</v>
      </c>
    </row>
    <row r="720">
      <c r="A720" t="inlineStr">
        <is>
          <t>OS-2218</t>
        </is>
      </c>
      <c r="B720" t="inlineStr">
        <is>
          <t>Aquecimento no mancal do motor R-19</t>
        </is>
      </c>
      <c r="C720" t="inlineStr">
        <is>
          <t>Mancal do motor R-19 acima da temperatura usual na medição com termômetro infravermelho.</t>
        </is>
      </c>
      <c r="D720" t="inlineStr">
        <is>
          <t>Galpão de Materiais</t>
        </is>
      </c>
      <c r="E720" t="inlineStr">
        <is>
          <t>Alta</t>
        </is>
      </c>
      <c r="F720" t="inlineStr">
        <is>
          <t>Fernanda Quintela</t>
        </is>
      </c>
      <c r="G720" t="inlineStr">
        <is>
          <t>Fechada</t>
        </is>
      </c>
      <c r="H720" s="5" t="n">
        <v>45878.35486111111</v>
      </c>
    </row>
    <row r="721">
      <c r="A721" t="inlineStr">
        <is>
          <t>OS-2219</t>
        </is>
      </c>
      <c r="B721" t="inlineStr">
        <is>
          <t>Ar-condicionado da sala P-36 sem refrigerar</t>
        </is>
      </c>
      <c r="C721" t="inlineStr">
        <is>
          <t>Ar-condicionado da sala de painéis P-36 ligado sem refrigerar.</t>
        </is>
      </c>
      <c r="D721" t="inlineStr">
        <is>
          <t>Base Operacional Litoral</t>
        </is>
      </c>
      <c r="E721" t="inlineStr">
        <is>
          <t>Baixa</t>
        </is>
      </c>
      <c r="F721" t="inlineStr">
        <is>
          <t>Aline Rocha</t>
        </is>
      </c>
      <c r="G721" t="inlineStr">
        <is>
          <t>Fechada</t>
        </is>
      </c>
      <c r="H721" s="5" t="n">
        <v>45878.66180555556</v>
      </c>
    </row>
    <row r="722">
      <c r="A722" t="inlineStr">
        <is>
          <t>OS-2220</t>
        </is>
      </c>
      <c r="B722" t="inlineStr">
        <is>
          <t>Correia do ventilador P-02 desgastada</t>
        </is>
      </c>
      <c r="C722" t="inlineStr">
        <is>
          <t>Correia do ventilador P-02 com trincas visíveis e folga excessiva.</t>
        </is>
      </c>
      <c r="D722" t="inlineStr">
        <is>
          <t>Subestação Centro</t>
        </is>
      </c>
      <c r="E722" t="inlineStr">
        <is>
          <t>Alta</t>
        </is>
      </c>
      <c r="F722" t="inlineStr">
        <is>
          <t>Natália Cordeiro</t>
        </is>
      </c>
      <c r="G722" t="inlineStr">
        <is>
          <t>Fechada</t>
        </is>
      </c>
      <c r="H722" s="5" t="n">
        <v>45878.97222222222</v>
      </c>
    </row>
    <row r="723">
      <c r="A723" t="inlineStr">
        <is>
          <t>OS-2221</t>
        </is>
      </c>
      <c r="B723" t="inlineStr">
        <is>
          <t>Bomba dosadora T-37 sem recalque</t>
        </is>
      </c>
      <c r="C723" t="inlineStr">
        <is>
          <t>Bomba dosadora T-37 liga mas não dosa. Mangueira sem obstrução aparente.</t>
        </is>
      </c>
      <c r="D723" t="inlineStr">
        <is>
          <t>Captação Rio Verde</t>
        </is>
      </c>
      <c r="E723" t="inlineStr">
        <is>
          <t>Média</t>
        </is>
      </c>
      <c r="F723" t="inlineStr">
        <is>
          <t>Jonas Teles</t>
        </is>
      </c>
      <c r="G723" t="inlineStr">
        <is>
          <t>Fechada</t>
        </is>
      </c>
      <c r="H723" s="5" t="n">
        <v>45879.26527777778</v>
      </c>
    </row>
    <row r="724">
      <c r="A724" t="inlineStr">
        <is>
          <t>OS-2222</t>
        </is>
      </c>
      <c r="B724" t="inlineStr">
        <is>
          <t>Vazamento de óleo no redutor G-34</t>
        </is>
      </c>
      <c r="C724" t="inlineStr">
        <is>
          <t>Gotejamento de óleo no redutor G-34. Nível ainda dentro da faixa.</t>
        </is>
      </c>
      <c r="D724" t="inlineStr">
        <is>
          <t>Reservatório Alto da Colina</t>
        </is>
      </c>
      <c r="E724" t="inlineStr">
        <is>
          <t>Baixa</t>
        </is>
      </c>
      <c r="F724" t="inlineStr">
        <is>
          <t>Aline Rocha</t>
        </is>
      </c>
      <c r="G724" t="inlineStr">
        <is>
          <t>Fechada</t>
        </is>
      </c>
      <c r="H724" s="5" t="n">
        <v>45879.60277777778</v>
      </c>
    </row>
    <row r="725">
      <c r="A725" t="inlineStr">
        <is>
          <t>OS-2223</t>
        </is>
      </c>
      <c r="B725" t="inlineStr">
        <is>
          <t>Sensor de nível sem leitura no tanque G-30</t>
        </is>
      </c>
      <c r="C725" t="inlineStr">
        <is>
          <t>Supervisório mostra leitura congelada do sensor de nível do tanque G-30.</t>
        </is>
      </c>
      <c r="D725" t="inlineStr">
        <is>
          <t>Reservatório Santa Luzia</t>
        </is>
      </c>
      <c r="E725" t="inlineStr">
        <is>
          <t>Baixa</t>
        </is>
      </c>
      <c r="F725" t="inlineStr">
        <is>
          <t>Yara Medeiros</t>
        </is>
      </c>
      <c r="G725" t="inlineStr">
        <is>
          <t>Fechada</t>
        </is>
      </c>
      <c r="H725" s="5" t="n">
        <v>45879.87152777778</v>
      </c>
    </row>
    <row r="726">
      <c r="A726" t="inlineStr">
        <is>
          <t>OS-2224</t>
        </is>
      </c>
      <c r="B726" t="inlineStr">
        <is>
          <t>Correia do ventilador C-25 desgastada</t>
        </is>
      </c>
      <c r="C726" t="inlineStr">
        <is>
          <t>Correia do ventilador C-25 com trincas visíveis e folga excessiva.</t>
        </is>
      </c>
      <c r="D726" t="inlineStr">
        <is>
          <t>Torre de Telecomunicação Morro Alto</t>
        </is>
      </c>
      <c r="E726" t="inlineStr">
        <is>
          <t>Média</t>
        </is>
      </c>
      <c r="F726" t="inlineStr">
        <is>
          <t>Simone Carvalho</t>
        </is>
      </c>
      <c r="G726" t="inlineStr">
        <is>
          <t>Fechada</t>
        </is>
      </c>
      <c r="H726" s="5" t="n">
        <v>45880.18194444444</v>
      </c>
    </row>
    <row r="727">
      <c r="A727" t="inlineStr">
        <is>
          <t>OS-2225</t>
        </is>
      </c>
      <c r="B727" t="inlineStr">
        <is>
          <t>Calha entupida no prédio G-32</t>
        </is>
      </c>
      <c r="C727" t="inlineStr">
        <is>
          <t>Calha do prédio G-32 transbordando em dia de chuva.</t>
        </is>
      </c>
      <c r="D727" t="inlineStr">
        <is>
          <t>ETA Serra Azul</t>
        </is>
      </c>
      <c r="E727" t="inlineStr">
        <is>
          <t>Baixa</t>
        </is>
      </c>
      <c r="F727" t="inlineStr">
        <is>
          <t>Glória Sampaio</t>
        </is>
      </c>
      <c r="G727" t="inlineStr">
        <is>
          <t>Fechada</t>
        </is>
      </c>
      <c r="H727" s="5" t="n">
        <v>45880.51597222222</v>
      </c>
    </row>
    <row r="728">
      <c r="A728" t="inlineStr">
        <is>
          <t>OS-2226</t>
        </is>
      </c>
      <c r="B728" t="inlineStr">
        <is>
          <t>Portão da área T-20 emperrado</t>
        </is>
      </c>
      <c r="C728" t="inlineStr">
        <is>
          <t>Portão de acesso da área T-20 exige força excessiva para abrir.</t>
        </is>
      </c>
      <c r="D728" t="inlineStr">
        <is>
          <t>Subestação Centro</t>
        </is>
      </c>
      <c r="E728" t="inlineStr">
        <is>
          <t>Baixa</t>
        </is>
      </c>
      <c r="F728" t="inlineStr">
        <is>
          <t>Fernanda Quintela</t>
        </is>
      </c>
      <c r="G728" t="inlineStr">
        <is>
          <t>Fechada</t>
        </is>
      </c>
      <c r="H728" s="5" t="n">
        <v>45880.82152777778</v>
      </c>
    </row>
    <row r="729">
      <c r="A729" t="inlineStr">
        <is>
          <t>OS-2227</t>
        </is>
      </c>
      <c r="B729" t="inlineStr">
        <is>
          <t>Calha entupida no prédio G-21</t>
        </is>
      </c>
      <c r="C729" t="inlineStr">
        <is>
          <t>Calha do prédio G-21 transbordando em dia de chuva.</t>
        </is>
      </c>
      <c r="D729" t="inlineStr">
        <is>
          <t>Base Operacional Norte</t>
        </is>
      </c>
      <c r="E729" t="inlineStr">
        <is>
          <t>Média</t>
        </is>
      </c>
      <c r="F729" t="inlineStr">
        <is>
          <t>Caio Rangel</t>
        </is>
      </c>
      <c r="G729" t="inlineStr">
        <is>
          <t>Fechada</t>
        </is>
      </c>
      <c r="H729" s="5" t="n">
        <v>45881.09375</v>
      </c>
    </row>
    <row r="730">
      <c r="A730" t="inlineStr">
        <is>
          <t>OS-2228</t>
        </is>
      </c>
      <c r="B730" t="inlineStr">
        <is>
          <t>Falha de comunicação no CLP V-37</t>
        </is>
      </c>
      <c r="C730" t="inlineStr">
        <is>
          <t>CLP V-37 perde comunicação com o supervisório em intervalos irregulares.</t>
        </is>
      </c>
      <c r="D730" t="inlineStr">
        <is>
          <t>Subestação Centro</t>
        </is>
      </c>
      <c r="E730" t="inlineStr">
        <is>
          <t>Baixa</t>
        </is>
      </c>
      <c r="F730" t="inlineStr">
        <is>
          <t>Priscila Guedes</t>
        </is>
      </c>
      <c r="G730" t="inlineStr">
        <is>
          <t>Fechada</t>
        </is>
      </c>
      <c r="H730" s="5" t="n">
        <v>45881.43402777778</v>
      </c>
    </row>
    <row r="731">
      <c r="A731" t="inlineStr">
        <is>
          <t>OS-2229</t>
        </is>
      </c>
      <c r="B731" t="inlineStr">
        <is>
          <t>Vazamento de óleo no redutor A-07</t>
        </is>
      </c>
      <c r="C731" t="inlineStr">
        <is>
          <t>Gotejamento de óleo no redutor A-07. Nível ainda dentro da faixa.</t>
        </is>
      </c>
      <c r="D731" t="inlineStr">
        <is>
          <t>ETA Serra Azul</t>
        </is>
      </c>
      <c r="E731" t="inlineStr">
        <is>
          <t>Alta</t>
        </is>
      </c>
      <c r="F731" t="inlineStr">
        <is>
          <t>Wesley Cardoso</t>
        </is>
      </c>
      <c r="G731" t="inlineStr">
        <is>
          <t>Fechada</t>
        </is>
      </c>
      <c r="H731" s="5" t="n">
        <v>45881.70486111111</v>
      </c>
    </row>
    <row r="732">
      <c r="A732" t="inlineStr">
        <is>
          <t>OS-2230</t>
        </is>
      </c>
      <c r="B732" t="inlineStr">
        <is>
          <t>Aquecimento no mancal do motor R-13</t>
        </is>
      </c>
      <c r="C732" t="inlineStr">
        <is>
          <t>Mancal do motor R-13 acima da temperatura usual na medição com termômetro infravermelho.</t>
        </is>
      </c>
      <c r="D732" t="inlineStr">
        <is>
          <t>Estação Elevatória Porto</t>
        </is>
      </c>
      <c r="E732" t="inlineStr">
        <is>
          <t>Média</t>
        </is>
      </c>
      <c r="F732" t="inlineStr">
        <is>
          <t>Caio Rangel</t>
        </is>
      </c>
      <c r="G732" t="inlineStr">
        <is>
          <t>Fechada</t>
        </is>
      </c>
      <c r="H732" s="5" t="n">
        <v>45882.01041666666</v>
      </c>
    </row>
    <row r="733">
      <c r="A733" t="inlineStr">
        <is>
          <t>OS-2231</t>
        </is>
      </c>
      <c r="B733" t="inlineStr">
        <is>
          <t>Troca de filtro do compressor P-20</t>
        </is>
      </c>
      <c r="C733" t="inlineStr">
        <is>
          <t>Filtro de ar do compressor P-20 saturado. Substituição preventiva.</t>
        </is>
      </c>
      <c r="D733" t="inlineStr">
        <is>
          <t>Subestação Leste</t>
        </is>
      </c>
      <c r="E733" t="inlineStr">
        <is>
          <t>Baixa</t>
        </is>
      </c>
      <c r="F733" t="inlineStr">
        <is>
          <t>Bernardo Leal</t>
        </is>
      </c>
      <c r="G733" t="inlineStr">
        <is>
          <t>Fechada</t>
        </is>
      </c>
      <c r="H733" s="5" t="n">
        <v>45882.33472222222</v>
      </c>
    </row>
    <row r="734">
      <c r="A734" t="inlineStr">
        <is>
          <t>OS-2232</t>
        </is>
      </c>
      <c r="B734" t="inlineStr">
        <is>
          <t>Exaustor F-25 parado</t>
        </is>
      </c>
      <c r="C734" t="inlineStr">
        <is>
          <t>Exaustor F-25 não parte. Fusível íntegro.</t>
        </is>
      </c>
      <c r="D734" t="inlineStr">
        <is>
          <t>Pátio de Veículos</t>
        </is>
      </c>
      <c r="E734" t="inlineStr">
        <is>
          <t>Alta</t>
        </is>
      </c>
      <c r="F734" t="inlineStr">
        <is>
          <t>Yara Medeiros</t>
        </is>
      </c>
      <c r="G734" t="inlineStr">
        <is>
          <t>Fechada</t>
        </is>
      </c>
      <c r="H734" s="5" t="n">
        <v>45882.64027777778</v>
      </c>
    </row>
    <row r="735">
      <c r="A735" t="inlineStr">
        <is>
          <t>OS-2233</t>
        </is>
      </c>
      <c r="B735" t="inlineStr">
        <is>
          <t>Ar-condicionado da sala F-27 sem refrigerar</t>
        </is>
      </c>
      <c r="C735" t="inlineStr">
        <is>
          <t>Ar-condicionado da sala de painéis F-27 ligado sem refrigerar.</t>
        </is>
      </c>
      <c r="D735" t="inlineStr">
        <is>
          <t>ETE Vale do Sol</t>
        </is>
      </c>
      <c r="E735" t="inlineStr">
        <is>
          <t>Média</t>
        </is>
      </c>
      <c r="F735" t="inlineStr">
        <is>
          <t>Natália Cordeiro</t>
        </is>
      </c>
      <c r="G735" t="inlineStr">
        <is>
          <t>Fechada</t>
        </is>
      </c>
      <c r="H735" s="5" t="n">
        <v>45882.94930555556</v>
      </c>
    </row>
    <row r="736">
      <c r="A736" t="inlineStr">
        <is>
          <t>OS-2234</t>
        </is>
      </c>
      <c r="B736" t="inlineStr">
        <is>
          <t>Falha de comunicação no CLP R-09</t>
        </is>
      </c>
      <c r="C736" t="inlineStr">
        <is>
          <t>CLP R-09 perde comunicação com o supervisório em intervalos irregulares.</t>
        </is>
      </c>
      <c r="D736" t="inlineStr">
        <is>
          <t>Usina Fotovoltaica Planalto</t>
        </is>
      </c>
      <c r="E736" t="inlineStr">
        <is>
          <t>Média</t>
        </is>
      </c>
      <c r="F736" t="inlineStr">
        <is>
          <t>Aline Rocha</t>
        </is>
      </c>
      <c r="G736" t="inlineStr">
        <is>
          <t>Fechada</t>
        </is>
      </c>
      <c r="H736" s="5" t="n">
        <v>45883.24652777778</v>
      </c>
    </row>
    <row r="737">
      <c r="A737" t="inlineStr">
        <is>
          <t>OS-2235</t>
        </is>
      </c>
      <c r="B737" t="inlineStr">
        <is>
          <t>Infiltração na parede da casa de bombas M-18</t>
        </is>
      </c>
      <c r="C737" t="inlineStr">
        <is>
          <t>Mancha de umidade crescente na parede da casa de bombas M-18.</t>
        </is>
      </c>
      <c r="D737" t="inlineStr">
        <is>
          <t>Adutora Tronco Sul</t>
        </is>
      </c>
      <c r="E737" t="inlineStr">
        <is>
          <t>Média</t>
        </is>
      </c>
      <c r="F737" t="inlineStr">
        <is>
          <t>Heloísa Barreto</t>
        </is>
      </c>
      <c r="G737" t="inlineStr">
        <is>
          <t>Fechada</t>
        </is>
      </c>
      <c r="H737" s="5" t="n">
        <v>45883.56944444445</v>
      </c>
    </row>
    <row r="738">
      <c r="A738" t="inlineStr">
        <is>
          <t>OS-2236</t>
        </is>
      </c>
      <c r="B738" t="inlineStr">
        <is>
          <t>Disjuntor desarmando no painel C-04</t>
        </is>
      </c>
      <c r="C738" t="inlineStr">
        <is>
          <t>Disjuntor do painel C-04 desarmou três vezes no turno. Carga dentro do nominal.</t>
        </is>
      </c>
      <c r="D738" t="inlineStr">
        <is>
          <t>Booster Morada do Sol</t>
        </is>
      </c>
      <c r="E738" t="inlineStr">
        <is>
          <t>Média</t>
        </is>
      </c>
      <c r="F738" t="inlineStr">
        <is>
          <t>Igor Fonseca</t>
        </is>
      </c>
      <c r="G738" t="inlineStr">
        <is>
          <t>Fechada</t>
        </is>
      </c>
      <c r="H738" s="5" t="n">
        <v>45883.86736111111</v>
      </c>
    </row>
    <row r="739">
      <c r="A739" t="inlineStr">
        <is>
          <t>OS-2237</t>
        </is>
      </c>
      <c r="B739" t="inlineStr">
        <is>
          <t>Medidor de vazão E-18 com leitura instável</t>
        </is>
      </c>
      <c r="C739" t="inlineStr">
        <is>
          <t>Medidor de vazão E-18 oscila sem variação de processo.</t>
        </is>
      </c>
      <c r="D739" t="inlineStr">
        <is>
          <t>ETE Rio Claro</t>
        </is>
      </c>
      <c r="E739" t="inlineStr">
        <is>
          <t>Baixa</t>
        </is>
      </c>
      <c r="F739" t="inlineStr">
        <is>
          <t>Kleber Antunes</t>
        </is>
      </c>
      <c r="G739" t="inlineStr">
        <is>
          <t>Fechada</t>
        </is>
      </c>
      <c r="H739" s="5" t="n">
        <v>45884.17638888889</v>
      </c>
    </row>
    <row r="740">
      <c r="A740" t="inlineStr">
        <is>
          <t>OS-2238</t>
        </is>
      </c>
      <c r="B740" t="inlineStr">
        <is>
          <t>Correia do ventilador V-28 desgastada</t>
        </is>
      </c>
      <c r="C740" t="inlineStr">
        <is>
          <t>Correia do ventilador V-28 com trincas visíveis e folga excessiva.</t>
        </is>
      </c>
      <c r="D740" t="inlineStr">
        <is>
          <t>Reservatório Santa Luzia</t>
        </is>
      </c>
      <c r="E740" t="inlineStr">
        <is>
          <t>Média</t>
        </is>
      </c>
      <c r="F740" t="inlineStr">
        <is>
          <t>Juliana Aguiar</t>
        </is>
      </c>
      <c r="G740" t="inlineStr">
        <is>
          <t>Fechada</t>
        </is>
      </c>
      <c r="H740" s="5" t="n">
        <v>45884.45555555556</v>
      </c>
    </row>
    <row r="741">
      <c r="A741" t="inlineStr">
        <is>
          <t>OS-2239</t>
        </is>
      </c>
      <c r="B741" t="inlineStr">
        <is>
          <t>Calha entupida no prédio M-14</t>
        </is>
      </c>
      <c r="C741" t="inlineStr">
        <is>
          <t>Calha do prédio M-14 transbordando em dia de chuva.</t>
        </is>
      </c>
      <c r="D741" t="inlineStr">
        <is>
          <t>Almoxarifado Central</t>
        </is>
      </c>
      <c r="E741" t="inlineStr">
        <is>
          <t>Baixa</t>
        </is>
      </c>
      <c r="F741" t="inlineStr">
        <is>
          <t>Rafael Torres</t>
        </is>
      </c>
      <c r="G741" t="inlineStr">
        <is>
          <t>Fechada</t>
        </is>
      </c>
      <c r="H741" s="5" t="n">
        <v>45884.74861111111</v>
      </c>
    </row>
    <row r="742">
      <c r="A742" t="inlineStr">
        <is>
          <t>OS-2240</t>
        </is>
      </c>
      <c r="B742" t="inlineStr">
        <is>
          <t>Vazamento na bomba G-07</t>
        </is>
      </c>
      <c r="C742" t="inlineStr">
        <is>
          <t>Vazamento pelo selo mecânico da bomba G-07. Piso molhado ao redor da base.</t>
        </is>
      </c>
      <c r="D742" t="inlineStr">
        <is>
          <t>Base Operacional Serra</t>
        </is>
      </c>
      <c r="E742" t="inlineStr">
        <is>
          <t>Média</t>
        </is>
      </c>
      <c r="F742" t="inlineStr">
        <is>
          <t>Igor Fonseca</t>
        </is>
      </c>
      <c r="G742" t="inlineStr">
        <is>
          <t>Fechada</t>
        </is>
      </c>
      <c r="H742" s="5" t="n">
        <v>45885.0875</v>
      </c>
    </row>
    <row r="743">
      <c r="A743" t="inlineStr">
        <is>
          <t>OS-2241</t>
        </is>
      </c>
      <c r="B743" t="inlineStr">
        <is>
          <t>Tomada sem energia na sala V-08</t>
        </is>
      </c>
      <c r="C743" t="inlineStr">
        <is>
          <t>Tomada de serviço da sala V-08 sem tensão.</t>
        </is>
      </c>
      <c r="D743" t="inlineStr">
        <is>
          <t>Almoxarifado Central</t>
        </is>
      </c>
      <c r="E743" t="inlineStr">
        <is>
          <t>Alta</t>
        </is>
      </c>
      <c r="F743" t="inlineStr">
        <is>
          <t>Bernardo Leal</t>
        </is>
      </c>
      <c r="G743" t="inlineStr">
        <is>
          <t>Fechada</t>
        </is>
      </c>
      <c r="H743" s="5" t="n">
        <v>45885.38541666666</v>
      </c>
    </row>
    <row r="744">
      <c r="A744" t="inlineStr">
        <is>
          <t>OS-2242</t>
        </is>
      </c>
      <c r="B744" t="inlineStr">
        <is>
          <t>Troca de filtro do compressor A-21</t>
        </is>
      </c>
      <c r="C744" t="inlineStr">
        <is>
          <t>Filtro de ar do compressor A-21 saturado. Substituição preventiva.</t>
        </is>
      </c>
      <c r="D744" t="inlineStr">
        <is>
          <t>ETE Rio Claro</t>
        </is>
      </c>
      <c r="E744" t="inlineStr">
        <is>
          <t>Média</t>
        </is>
      </c>
      <c r="F744" t="inlineStr">
        <is>
          <t>Natália Cordeiro</t>
        </is>
      </c>
      <c r="G744" t="inlineStr">
        <is>
          <t>Fechada</t>
        </is>
      </c>
      <c r="H744" s="5" t="n">
        <v>45885.66527777778</v>
      </c>
    </row>
    <row r="745">
      <c r="A745" t="inlineStr">
        <is>
          <t>OS-2243</t>
        </is>
      </c>
      <c r="B745" t="inlineStr">
        <is>
          <t>Medidor de vazão E-03 com leitura instável</t>
        </is>
      </c>
      <c r="C745" t="inlineStr">
        <is>
          <t>Medidor de vazão E-03 oscila sem variação de processo.</t>
        </is>
      </c>
      <c r="D745" t="inlineStr">
        <is>
          <t>Estação Elevatória Leste</t>
        </is>
      </c>
      <c r="E745" t="inlineStr">
        <is>
          <t>Média</t>
        </is>
      </c>
      <c r="F745" t="inlineStr">
        <is>
          <t>Thiago Bastos</t>
        </is>
      </c>
      <c r="G745" t="inlineStr">
        <is>
          <t>Fechada</t>
        </is>
      </c>
      <c r="H745" s="5" t="n">
        <v>45886.00416666667</v>
      </c>
    </row>
    <row r="746">
      <c r="A746" t="inlineStr">
        <is>
          <t>OS-2244</t>
        </is>
      </c>
      <c r="B746" t="inlineStr">
        <is>
          <t>Aquecimento no mancal do motor G-26</t>
        </is>
      </c>
      <c r="C746" t="inlineStr">
        <is>
          <t>Mancal do motor G-26 acima da temperatura usual na medição com termômetro infravermelho.</t>
        </is>
      </c>
      <c r="D746" t="inlineStr">
        <is>
          <t>ETA Serra Azul</t>
        </is>
      </c>
      <c r="E746" t="inlineStr">
        <is>
          <t>Média</t>
        </is>
      </c>
      <c r="F746" t="inlineStr">
        <is>
          <t>Igor Fonseca</t>
        </is>
      </c>
      <c r="G746" t="inlineStr">
        <is>
          <t>Fechada</t>
        </is>
      </c>
      <c r="H746" s="5" t="n">
        <v>45886.29722222222</v>
      </c>
    </row>
    <row r="747">
      <c r="A747" t="inlineStr">
        <is>
          <t>OS-2245</t>
        </is>
      </c>
      <c r="B747" t="inlineStr">
        <is>
          <t>Falha de comunicação no CLP C-39</t>
        </is>
      </c>
      <c r="C747" t="inlineStr">
        <is>
          <t>CLP C-39 perde comunicação com o supervisório em intervalos irregulares.</t>
        </is>
      </c>
      <c r="D747" t="inlineStr">
        <is>
          <t>Estação de Bombeamento Três Pontes</t>
        </is>
      </c>
      <c r="E747" t="inlineStr">
        <is>
          <t>Alta</t>
        </is>
      </c>
      <c r="F747" t="inlineStr">
        <is>
          <t>Caio Rangel</t>
        </is>
      </c>
      <c r="G747" t="inlineStr">
        <is>
          <t>Fechada</t>
        </is>
      </c>
      <c r="H747" s="5" t="n">
        <v>45886.61458333334</v>
      </c>
    </row>
    <row r="748">
      <c r="A748" t="inlineStr">
        <is>
          <t>OS-2246</t>
        </is>
      </c>
      <c r="B748" t="inlineStr">
        <is>
          <t>Infiltração na parede da casa de bombas A-38</t>
        </is>
      </c>
      <c r="C748" t="inlineStr">
        <is>
          <t>Mancha de umidade crescente na parede da casa de bombas A-38.</t>
        </is>
      </c>
      <c r="D748" t="inlineStr">
        <is>
          <t>Usina Fotovoltaica Cerrado</t>
        </is>
      </c>
      <c r="E748" t="inlineStr">
        <is>
          <t>Média</t>
        </is>
      </c>
      <c r="F748" t="inlineStr">
        <is>
          <t>Heloísa Barreto</t>
        </is>
      </c>
      <c r="G748" t="inlineStr">
        <is>
          <t>Fechada</t>
        </is>
      </c>
      <c r="H748" s="5" t="n">
        <v>45886.89652777778</v>
      </c>
    </row>
    <row r="749">
      <c r="A749" t="inlineStr">
        <is>
          <t>OS-2247</t>
        </is>
      </c>
      <c r="B749" t="inlineStr">
        <is>
          <t>Pintura descascada na estrutura V-16</t>
        </is>
      </c>
      <c r="C749" t="inlineStr">
        <is>
          <t>Estrutura metálica V-16 com pontos de corrosão sob a pintura.</t>
        </is>
      </c>
      <c r="D749" t="inlineStr">
        <is>
          <t>Booster Morada do Sol</t>
        </is>
      </c>
      <c r="E749" t="inlineStr">
        <is>
          <t>Baixa</t>
        </is>
      </c>
      <c r="F749" t="inlineStr">
        <is>
          <t>Hugo Albuquerque</t>
        </is>
      </c>
      <c r="G749" t="inlineStr">
        <is>
          <t>Fechada</t>
        </is>
      </c>
      <c r="H749" s="5" t="n">
        <v>45887.22430555556</v>
      </c>
    </row>
    <row r="750">
      <c r="A750" t="inlineStr">
        <is>
          <t>OS-2248</t>
        </is>
      </c>
      <c r="B750" t="inlineStr">
        <is>
          <t>Ar-condicionado da sala M-30 sem refrigerar</t>
        </is>
      </c>
      <c r="C750" t="inlineStr">
        <is>
          <t>Ar-condicionado da sala de painéis M-30 ligado sem refrigerar.</t>
        </is>
      </c>
      <c r="D750" t="inlineStr">
        <is>
          <t>Base Operacional Litoral</t>
        </is>
      </c>
      <c r="E750" t="inlineStr">
        <is>
          <t>Média</t>
        </is>
      </c>
      <c r="F750" t="inlineStr">
        <is>
          <t>Caio Rangel</t>
        </is>
      </c>
      <c r="G750" t="inlineStr">
        <is>
          <t>Fechada</t>
        </is>
      </c>
      <c r="H750" s="5" t="n">
        <v>45887.52152777778</v>
      </c>
    </row>
    <row r="751">
      <c r="A751" t="inlineStr">
        <is>
          <t>OS-2249</t>
        </is>
      </c>
      <c r="B751" t="inlineStr">
        <is>
          <t>Correia do ventilador V-27 desgastada</t>
        </is>
      </c>
      <c r="C751" t="inlineStr">
        <is>
          <t>Correia do ventilador V-27 com trincas visíveis e folga excessiva.</t>
        </is>
      </c>
      <c r="D751" t="inlineStr">
        <is>
          <t>ETE Vale do Sol</t>
        </is>
      </c>
      <c r="E751" t="inlineStr">
        <is>
          <t>Alta</t>
        </is>
      </c>
      <c r="F751" t="inlineStr">
        <is>
          <t>Érica Andrade</t>
        </is>
      </c>
      <c r="G751" t="inlineStr">
        <is>
          <t>Fechada</t>
        </is>
      </c>
      <c r="H751" s="5" t="n">
        <v>45887.80555555555</v>
      </c>
    </row>
    <row r="752">
      <c r="A752" t="inlineStr">
        <is>
          <t>OS-2250</t>
        </is>
      </c>
      <c r="B752" t="inlineStr">
        <is>
          <t>Troca de filtro do compressor C-11</t>
        </is>
      </c>
      <c r="C752" t="inlineStr">
        <is>
          <t>Filtro de ar do compressor C-11 saturado. Substituição preventiva.</t>
        </is>
      </c>
      <c r="D752" t="inlineStr">
        <is>
          <t>Estação Elevatória Porto</t>
        </is>
      </c>
      <c r="E752" t="inlineStr">
        <is>
          <t>Alta</t>
        </is>
      </c>
      <c r="F752" t="inlineStr">
        <is>
          <t>Eduardo Salles</t>
        </is>
      </c>
      <c r="G752" t="inlineStr">
        <is>
          <t>Fechada</t>
        </is>
      </c>
      <c r="H752" s="5" t="n">
        <v>45888.13680555556</v>
      </c>
    </row>
    <row r="753">
      <c r="A753" t="inlineStr">
        <is>
          <t>OS-2251</t>
        </is>
      </c>
      <c r="B753" t="inlineStr">
        <is>
          <t>Calha entupida no prédio F-12</t>
        </is>
      </c>
      <c r="C753" t="inlineStr">
        <is>
          <t>Calha do prédio F-12 transbordando em dia de chuva.</t>
        </is>
      </c>
      <c r="D753" t="inlineStr">
        <is>
          <t>Sede Administrativa</t>
        </is>
      </c>
      <c r="E753" t="inlineStr">
        <is>
          <t>Crítica</t>
        </is>
      </c>
      <c r="F753" t="inlineStr">
        <is>
          <t>Caio Rangel</t>
        </is>
      </c>
      <c r="G753" t="inlineStr">
        <is>
          <t>Fechada</t>
        </is>
      </c>
      <c r="H753" s="5" t="n">
        <v>45888.43958333333</v>
      </c>
    </row>
    <row r="754">
      <c r="A754" t="inlineStr">
        <is>
          <t>OS-2252</t>
        </is>
      </c>
      <c r="B754" t="inlineStr">
        <is>
          <t>Bomba dosadora G-13 sem recalque</t>
        </is>
      </c>
      <c r="C754" t="inlineStr">
        <is>
          <t>Bomba dosadora G-13 liga mas não dosa. Mangueira sem obstrução aparente.</t>
        </is>
      </c>
      <c r="D754" t="inlineStr">
        <is>
          <t>Estação Elevatória Porto</t>
        </is>
      </c>
      <c r="E754" t="inlineStr">
        <is>
          <t>Média</t>
        </is>
      </c>
      <c r="F754" t="inlineStr">
        <is>
          <t>Igor Fonseca</t>
        </is>
      </c>
      <c r="G754" t="inlineStr">
        <is>
          <t>Fechada</t>
        </is>
      </c>
      <c r="H754" s="5" t="n">
        <v>45888.73611111111</v>
      </c>
    </row>
    <row r="755">
      <c r="A755" t="inlineStr">
        <is>
          <t>OS-2253</t>
        </is>
      </c>
      <c r="B755" t="inlineStr">
        <is>
          <t>Calha entupida no prédio H-17</t>
        </is>
      </c>
      <c r="C755" t="inlineStr">
        <is>
          <t>Calha do prédio H-17 transbordando em dia de chuva.</t>
        </is>
      </c>
      <c r="D755" t="inlineStr">
        <is>
          <t>Subestação Norte</t>
        </is>
      </c>
      <c r="E755" t="inlineStr">
        <is>
          <t>Baixa</t>
        </is>
      </c>
      <c r="F755" t="inlineStr">
        <is>
          <t>Juliana Aguiar</t>
        </is>
      </c>
      <c r="G755" t="inlineStr">
        <is>
          <t>Fechada</t>
        </is>
      </c>
      <c r="H755" s="5" t="n">
        <v>45889.02222222222</v>
      </c>
    </row>
    <row r="756">
      <c r="A756" t="inlineStr">
        <is>
          <t>OS-2254</t>
        </is>
      </c>
      <c r="B756" t="inlineStr">
        <is>
          <t>Falha de comunicação no CLP H-20</t>
        </is>
      </c>
      <c r="C756" t="inlineStr">
        <is>
          <t>CLP H-20 perde comunicação com o supervisório em intervalos irregulares.</t>
        </is>
      </c>
      <c r="D756" t="inlineStr">
        <is>
          <t>ETA Ribeirão Fundo</t>
        </is>
      </c>
      <c r="E756" t="inlineStr">
        <is>
          <t>Média</t>
        </is>
      </c>
      <c r="F756" t="inlineStr">
        <is>
          <t>Úrsula Maia</t>
        </is>
      </c>
      <c r="G756" t="inlineStr">
        <is>
          <t>Fechada</t>
        </is>
      </c>
      <c r="H756" s="5" t="n">
        <v>45889.35902777778</v>
      </c>
    </row>
    <row r="757">
      <c r="A757" t="inlineStr">
        <is>
          <t>OS-2255</t>
        </is>
      </c>
      <c r="B757" t="inlineStr">
        <is>
          <t>Válvula F-38 não fecha por completo</t>
        </is>
      </c>
      <c r="C757" t="inlineStr">
        <is>
          <t>Válvula F-38 com passagem residual mesmo totalmente fechada. Possível desgaste da sede.</t>
        </is>
      </c>
      <c r="D757" t="inlineStr">
        <is>
          <t>ETE Rio Claro</t>
        </is>
      </c>
      <c r="E757" t="inlineStr">
        <is>
          <t>Baixa</t>
        </is>
      </c>
      <c r="F757" t="inlineStr">
        <is>
          <t>Érica Andrade</t>
        </is>
      </c>
      <c r="G757" t="inlineStr">
        <is>
          <t>Fechada</t>
        </is>
      </c>
      <c r="H757" s="5" t="n">
        <v>45889.66458333333</v>
      </c>
    </row>
    <row r="758">
      <c r="A758" t="inlineStr">
        <is>
          <t>OS-2256</t>
        </is>
      </c>
      <c r="B758" t="inlineStr">
        <is>
          <t>Medidor de vazão M-17 com leitura instável</t>
        </is>
      </c>
      <c r="C758" t="inlineStr">
        <is>
          <t>Medidor de vazão M-17 oscila sem variação de processo.</t>
        </is>
      </c>
      <c r="D758" t="inlineStr">
        <is>
          <t>Estação Elevatória Oeste</t>
        </is>
      </c>
      <c r="E758" t="inlineStr">
        <is>
          <t>Média</t>
        </is>
      </c>
      <c r="F758" t="inlineStr">
        <is>
          <t>Heloísa Barreto</t>
        </is>
      </c>
      <c r="G758" t="inlineStr">
        <is>
          <t>Fechada</t>
        </is>
      </c>
      <c r="H758" s="5" t="n">
        <v>45889.97638888889</v>
      </c>
    </row>
    <row r="759">
      <c r="A759" t="inlineStr">
        <is>
          <t>OS-2257</t>
        </is>
      </c>
      <c r="B759" t="inlineStr">
        <is>
          <t>Falha de comunicação no CLP T-37</t>
        </is>
      </c>
      <c r="C759" t="inlineStr">
        <is>
          <t>CLP T-37 perde comunicação com o supervisório em intervalos irregulares.</t>
        </is>
      </c>
      <c r="D759" t="inlineStr">
        <is>
          <t>Estação de Bombeamento Vila Nova</t>
        </is>
      </c>
      <c r="E759" t="inlineStr">
        <is>
          <t>Média</t>
        </is>
      </c>
      <c r="F759" t="inlineStr">
        <is>
          <t>Daniela Pires</t>
        </is>
      </c>
      <c r="G759" t="inlineStr">
        <is>
          <t>Fechada</t>
        </is>
      </c>
      <c r="H759" s="5" t="n">
        <v>45890.25833333333</v>
      </c>
    </row>
    <row r="760">
      <c r="A760" t="inlineStr">
        <is>
          <t>OS-2258</t>
        </is>
      </c>
      <c r="B760" t="inlineStr">
        <is>
          <t>Medidor de vazão H-09 com leitura instável</t>
        </is>
      </c>
      <c r="C760" t="inlineStr">
        <is>
          <t>Medidor de vazão H-09 oscila sem variação de processo.</t>
        </is>
      </c>
      <c r="D760" t="inlineStr">
        <is>
          <t>Base Operacional Norte</t>
        </is>
      </c>
      <c r="E760" t="inlineStr">
        <is>
          <t>Média</t>
        </is>
      </c>
      <c r="F760" t="inlineStr">
        <is>
          <t>Érica Andrade</t>
        </is>
      </c>
      <c r="G760" t="inlineStr">
        <is>
          <t>Fechada</t>
        </is>
      </c>
      <c r="H760" s="5" t="n">
        <v>45890.55</v>
      </c>
    </row>
    <row r="761">
      <c r="A761" t="inlineStr">
        <is>
          <t>OS-2259</t>
        </is>
      </c>
      <c r="B761" t="inlineStr">
        <is>
          <t>Pintura descascada na estrutura H-40</t>
        </is>
      </c>
      <c r="C761" t="inlineStr">
        <is>
          <t>Estrutura metálica H-40 com pontos de corrosão sob a pintura.</t>
        </is>
      </c>
      <c r="D761" t="inlineStr">
        <is>
          <t>Laboratório de Controle</t>
        </is>
      </c>
      <c r="E761" t="inlineStr">
        <is>
          <t>Média</t>
        </is>
      </c>
      <c r="F761" t="inlineStr">
        <is>
          <t>Érica Andrade</t>
        </is>
      </c>
      <c r="G761" t="inlineStr">
        <is>
          <t>Fechada</t>
        </is>
      </c>
      <c r="H761" s="5" t="n">
        <v>45890.89236111111</v>
      </c>
    </row>
    <row r="762">
      <c r="A762" t="inlineStr">
        <is>
          <t>OS-2260</t>
        </is>
      </c>
      <c r="B762" t="inlineStr">
        <is>
          <t>Pintura descascada na estrutura H-17</t>
        </is>
      </c>
      <c r="C762" t="inlineStr">
        <is>
          <t>Estrutura metálica H-17 com pontos de corrosão sob a pintura.</t>
        </is>
      </c>
      <c r="D762" t="inlineStr">
        <is>
          <t>Captação Rio Verde</t>
        </is>
      </c>
      <c r="E762" t="inlineStr">
        <is>
          <t>Média</t>
        </is>
      </c>
      <c r="F762" t="inlineStr">
        <is>
          <t>Eduardo Salles</t>
        </is>
      </c>
      <c r="G762" t="inlineStr">
        <is>
          <t>Fechada</t>
        </is>
      </c>
      <c r="H762" s="5" t="n">
        <v>45891.17430555556</v>
      </c>
    </row>
    <row r="763">
      <c r="A763" t="inlineStr">
        <is>
          <t>OS-2261</t>
        </is>
      </c>
      <c r="B763" t="inlineStr">
        <is>
          <t>Calha entupida no prédio R-27</t>
        </is>
      </c>
      <c r="C763" t="inlineStr">
        <is>
          <t>Calha do prédio R-27 transbordando em dia de chuva.</t>
        </is>
      </c>
      <c r="D763" t="inlineStr">
        <is>
          <t>ETA Central</t>
        </is>
      </c>
      <c r="E763" t="inlineStr">
        <is>
          <t>Alta</t>
        </is>
      </c>
      <c r="F763" t="inlineStr">
        <is>
          <t>Priscila Guedes</t>
        </is>
      </c>
      <c r="G763" t="inlineStr">
        <is>
          <t>Fechada</t>
        </is>
      </c>
      <c r="H763" s="5" t="n">
        <v>45891.46805555555</v>
      </c>
    </row>
    <row r="764">
      <c r="A764" t="inlineStr">
        <is>
          <t>OS-2262</t>
        </is>
      </c>
      <c r="B764" t="inlineStr">
        <is>
          <t>Sensor de nível sem leitura no tanque V-30</t>
        </is>
      </c>
      <c r="C764" t="inlineStr">
        <is>
          <t>Supervisório mostra leitura congelada do sensor de nível do tanque V-30.</t>
        </is>
      </c>
      <c r="D764" t="inlineStr">
        <is>
          <t>Base Operacional Norte</t>
        </is>
      </c>
      <c r="E764" t="inlineStr">
        <is>
          <t>Alta</t>
        </is>
      </c>
      <c r="F764" t="inlineStr">
        <is>
          <t>Simone Carvalho</t>
        </is>
      </c>
      <c r="G764" t="inlineStr">
        <is>
          <t>Fechada</t>
        </is>
      </c>
      <c r="H764" s="5" t="n">
        <v>45891.78958333333</v>
      </c>
    </row>
    <row r="765">
      <c r="A765" t="inlineStr">
        <is>
          <t>OS-2263</t>
        </is>
      </c>
      <c r="B765" t="inlineStr">
        <is>
          <t>Exaustor A-24 parado</t>
        </is>
      </c>
      <c r="C765" t="inlineStr">
        <is>
          <t>Exaustor A-24 não parte. Fusível íntegro.</t>
        </is>
      </c>
      <c r="D765" t="inlineStr">
        <is>
          <t>Base Operacional Sul</t>
        </is>
      </c>
      <c r="E765" t="inlineStr">
        <is>
          <t>Alta</t>
        </is>
      </c>
      <c r="F765" t="inlineStr">
        <is>
          <t>Lívia Montenegro</t>
        </is>
      </c>
      <c r="G765" t="inlineStr">
        <is>
          <t>Fechada</t>
        </is>
      </c>
      <c r="H765" s="5" t="n">
        <v>45892.1</v>
      </c>
    </row>
    <row r="766">
      <c r="A766" t="inlineStr">
        <is>
          <t>OS-2264</t>
        </is>
      </c>
      <c r="B766" t="inlineStr">
        <is>
          <t>Vazamento na bomba G-06</t>
        </is>
      </c>
      <c r="C766" t="inlineStr">
        <is>
          <t>Vazamento pelo selo mecânico da bomba G-06. Piso molhado ao redor da base.</t>
        </is>
      </c>
      <c r="D766" t="inlineStr">
        <is>
          <t>Reservatório Industrial</t>
        </is>
      </c>
      <c r="E766" t="inlineStr">
        <is>
          <t>Média</t>
        </is>
      </c>
      <c r="F766" t="inlineStr">
        <is>
          <t>Eduardo Salles</t>
        </is>
      </c>
      <c r="G766" t="inlineStr">
        <is>
          <t>Fechada</t>
        </is>
      </c>
      <c r="H766" s="5" t="n">
        <v>45892.39305555556</v>
      </c>
    </row>
    <row r="767">
      <c r="A767" t="inlineStr">
        <is>
          <t>OS-2265</t>
        </is>
      </c>
      <c r="B767" t="inlineStr">
        <is>
          <t>Válvula H-26 não fecha por completo</t>
        </is>
      </c>
      <c r="C767" t="inlineStr">
        <is>
          <t>Válvula H-26 com passagem residual mesmo totalmente fechada. Possível desgaste da sede.</t>
        </is>
      </c>
      <c r="D767" t="inlineStr">
        <is>
          <t>Oficina Elétrica Central</t>
        </is>
      </c>
      <c r="E767" t="inlineStr">
        <is>
          <t>Média</t>
        </is>
      </c>
      <c r="F767" t="inlineStr">
        <is>
          <t>Lívia Montenegro</t>
        </is>
      </c>
      <c r="G767" t="inlineStr">
        <is>
          <t>Fechada</t>
        </is>
      </c>
      <c r="H767" s="5" t="n">
        <v>45892.70555555556</v>
      </c>
    </row>
    <row r="768">
      <c r="A768" t="inlineStr">
        <is>
          <t>OS-2266</t>
        </is>
      </c>
      <c r="B768" t="inlineStr">
        <is>
          <t>Lâmpada queimada na área A-21</t>
        </is>
      </c>
      <c r="C768" t="inlineStr">
        <is>
          <t>Iluminação da área A-21 sem funcionar. Reposição de lâmpada e conferência do reator.</t>
        </is>
      </c>
      <c r="D768" t="inlineStr">
        <is>
          <t>Subestação Leste</t>
        </is>
      </c>
      <c r="E768" t="inlineStr">
        <is>
          <t>Baixa</t>
        </is>
      </c>
      <c r="F768" t="inlineStr">
        <is>
          <t>Cíntia Freitas</t>
        </is>
      </c>
      <c r="G768" t="inlineStr">
        <is>
          <t>Fechada</t>
        </is>
      </c>
      <c r="H768" s="5" t="n">
        <v>45893.01944444444</v>
      </c>
    </row>
    <row r="769">
      <c r="A769" t="inlineStr">
        <is>
          <t>OS-2267</t>
        </is>
      </c>
      <c r="B769" t="inlineStr">
        <is>
          <t>Troca de filtro do compressor R-28</t>
        </is>
      </c>
      <c r="C769" t="inlineStr">
        <is>
          <t>Filtro de ar do compressor R-28 saturado. Substituição preventiva.</t>
        </is>
      </c>
      <c r="D769" t="inlineStr">
        <is>
          <t>Usina Fotovoltaica Planalto</t>
        </is>
      </c>
      <c r="E769" t="inlineStr">
        <is>
          <t>Alta</t>
        </is>
      </c>
      <c r="F769" t="inlineStr">
        <is>
          <t>Flávio Gusmão</t>
        </is>
      </c>
      <c r="G769" t="inlineStr">
        <is>
          <t>Fechada</t>
        </is>
      </c>
      <c r="H769" s="5" t="n">
        <v>45893.29305555556</v>
      </c>
    </row>
    <row r="770">
      <c r="A770" t="inlineStr">
        <is>
          <t>OS-2268</t>
        </is>
      </c>
      <c r="B770" t="inlineStr">
        <is>
          <t>Calha entupida no prédio M-25</t>
        </is>
      </c>
      <c r="C770" t="inlineStr">
        <is>
          <t>Calha do prédio M-25 transbordando em dia de chuva.</t>
        </is>
      </c>
      <c r="D770" t="inlineStr">
        <is>
          <t>Almoxarifado Central</t>
        </is>
      </c>
      <c r="E770" t="inlineStr">
        <is>
          <t>Média</t>
        </is>
      </c>
      <c r="F770" t="inlineStr">
        <is>
          <t>Glória Sampaio</t>
        </is>
      </c>
      <c r="G770" t="inlineStr">
        <is>
          <t>Fechada</t>
        </is>
      </c>
      <c r="H770" s="5" t="n">
        <v>45893.60277777778</v>
      </c>
    </row>
    <row r="771">
      <c r="A771" t="inlineStr">
        <is>
          <t>OS-2269</t>
        </is>
      </c>
      <c r="B771" t="inlineStr">
        <is>
          <t>Vazamento de óleo no redutor F-31</t>
        </is>
      </c>
      <c r="C771" t="inlineStr">
        <is>
          <t>Gotejamento de óleo no redutor F-31. Nível ainda dentro da faixa.</t>
        </is>
      </c>
      <c r="D771" t="inlineStr">
        <is>
          <t>Usina Fotovoltaica Planalto</t>
        </is>
      </c>
      <c r="E771" t="inlineStr">
        <is>
          <t>Média</t>
        </is>
      </c>
      <c r="F771" t="inlineStr">
        <is>
          <t>Flávio Gusmão</t>
        </is>
      </c>
      <c r="G771" t="inlineStr">
        <is>
          <t>Fechada</t>
        </is>
      </c>
      <c r="H771" s="5" t="n">
        <v>45893.90277777778</v>
      </c>
    </row>
    <row r="772">
      <c r="A772" t="inlineStr">
        <is>
          <t>OS-2270</t>
        </is>
      </c>
      <c r="B772" t="inlineStr">
        <is>
          <t>Ruído anormal no motor E-10</t>
        </is>
      </c>
      <c r="C772" t="inlineStr">
        <is>
          <t>Ruído intermitente no motor E-10 durante a partida. Temperatura normal ao toque.</t>
        </is>
      </c>
      <c r="D772" t="inlineStr">
        <is>
          <t>Base Operacional Serra</t>
        </is>
      </c>
      <c r="E772" t="inlineStr">
        <is>
          <t>Média</t>
        </is>
      </c>
      <c r="F772" t="inlineStr">
        <is>
          <t>Flávio Gusmão</t>
        </is>
      </c>
      <c r="G772" t="inlineStr">
        <is>
          <t>Fechada</t>
        </is>
      </c>
      <c r="H772" s="5" t="n">
        <v>45894.21944444445</v>
      </c>
    </row>
    <row r="773">
      <c r="A773" t="inlineStr">
        <is>
          <t>OS-2271</t>
        </is>
      </c>
      <c r="B773" t="inlineStr">
        <is>
          <t>Vazamento na bomba D-06</t>
        </is>
      </c>
      <c r="C773" t="inlineStr">
        <is>
          <t>Vazamento pelo selo mecânico da bomba D-06. Piso molhado ao redor da base.</t>
        </is>
      </c>
      <c r="D773" t="inlineStr">
        <is>
          <t>Booster Morada do Sol</t>
        </is>
      </c>
      <c r="E773" t="inlineStr">
        <is>
          <t>Média</t>
        </is>
      </c>
      <c r="F773" t="inlineStr">
        <is>
          <t>Jonas Teles</t>
        </is>
      </c>
      <c r="G773" t="inlineStr">
        <is>
          <t>Fechada</t>
        </is>
      </c>
      <c r="H773" s="5" t="n">
        <v>45894.51944444444</v>
      </c>
    </row>
    <row r="774">
      <c r="A774" t="inlineStr">
        <is>
          <t>OS-2272</t>
        </is>
      </c>
      <c r="B774" t="inlineStr">
        <is>
          <t>Troca de filtro do compressor T-27</t>
        </is>
      </c>
      <c r="C774" t="inlineStr">
        <is>
          <t>Filtro de ar do compressor T-27 saturado. Substituição preventiva.</t>
        </is>
      </c>
      <c r="D774" t="inlineStr">
        <is>
          <t>Almoxarifado Central</t>
        </is>
      </c>
      <c r="E774" t="inlineStr">
        <is>
          <t>Média</t>
        </is>
      </c>
      <c r="F774" t="inlineStr">
        <is>
          <t>Igor Fonseca</t>
        </is>
      </c>
      <c r="G774" t="inlineStr">
        <is>
          <t>Fechada</t>
        </is>
      </c>
      <c r="H774" s="5" t="n">
        <v>45894.84166666667</v>
      </c>
    </row>
    <row r="775">
      <c r="A775" t="inlineStr">
        <is>
          <t>OS-2273</t>
        </is>
      </c>
      <c r="B775" t="inlineStr">
        <is>
          <t>Exaustor T-23 parado</t>
        </is>
      </c>
      <c r="C775" t="inlineStr">
        <is>
          <t>Exaustor T-23 não parte. Fusível íntegro.</t>
        </is>
      </c>
      <c r="D775" t="inlineStr">
        <is>
          <t>Usina Fotovoltaica Planalto</t>
        </is>
      </c>
      <c r="E775" t="inlineStr">
        <is>
          <t>Baixa</t>
        </is>
      </c>
      <c r="F775" t="inlineStr">
        <is>
          <t>Érica Andrade</t>
        </is>
      </c>
      <c r="G775" t="inlineStr">
        <is>
          <t>Fechada</t>
        </is>
      </c>
      <c r="H775" s="5" t="n">
        <v>45895.13263888889</v>
      </c>
    </row>
    <row r="776">
      <c r="A776" t="inlineStr">
        <is>
          <t>OS-2274</t>
        </is>
      </c>
      <c r="B776" t="inlineStr">
        <is>
          <t>Portão da área E-34 emperrado</t>
        </is>
      </c>
      <c r="C776" t="inlineStr">
        <is>
          <t>Portão de acesso da área E-34 exige força excessiva para abrir.</t>
        </is>
      </c>
      <c r="D776" t="inlineStr">
        <is>
          <t>Reservatório Alto da Colina</t>
        </is>
      </c>
      <c r="E776" t="inlineStr">
        <is>
          <t>Alta</t>
        </is>
      </c>
      <c r="F776" t="inlineStr">
        <is>
          <t>Otávio Lacerda</t>
        </is>
      </c>
      <c r="G776" t="inlineStr">
        <is>
          <t>Fechada</t>
        </is>
      </c>
      <c r="H776" s="5" t="n">
        <v>45895.45347222222</v>
      </c>
    </row>
    <row r="777">
      <c r="A777" t="inlineStr">
        <is>
          <t>OS-2275</t>
        </is>
      </c>
      <c r="B777" t="inlineStr">
        <is>
          <t>Medidor de vazão F-21 com leitura instável</t>
        </is>
      </c>
      <c r="C777" t="inlineStr">
        <is>
          <t>Medidor de vazão F-21 oscila sem variação de processo.</t>
        </is>
      </c>
      <c r="D777" t="inlineStr">
        <is>
          <t>Subestação Oeste</t>
        </is>
      </c>
      <c r="E777" t="inlineStr">
        <is>
          <t>Média</t>
        </is>
      </c>
      <c r="F777" t="inlineStr">
        <is>
          <t>Kleber Antunes</t>
        </is>
      </c>
      <c r="G777" t="inlineStr">
        <is>
          <t>Fechada</t>
        </is>
      </c>
      <c r="H777" s="5" t="n">
        <v>45895.73541666667</v>
      </c>
    </row>
    <row r="778">
      <c r="A778" t="inlineStr">
        <is>
          <t>OS-2276</t>
        </is>
      </c>
      <c r="B778" t="inlineStr">
        <is>
          <t>Vazamento na bomba F-04</t>
        </is>
      </c>
      <c r="C778" t="inlineStr">
        <is>
          <t>Vazamento pelo selo mecânico da bomba F-04. Piso molhado ao redor da base.</t>
        </is>
      </c>
      <c r="D778" t="inlineStr">
        <is>
          <t>Booster Parque das Águas</t>
        </is>
      </c>
      <c r="E778" t="inlineStr">
        <is>
          <t>Baixa</t>
        </is>
      </c>
      <c r="F778" t="inlineStr">
        <is>
          <t>Larissa Bezerra</t>
        </is>
      </c>
      <c r="G778" t="inlineStr">
        <is>
          <t>Fechada</t>
        </is>
      </c>
      <c r="H778" s="5" t="n">
        <v>45896.05555555555</v>
      </c>
    </row>
    <row r="779">
      <c r="A779" t="inlineStr">
        <is>
          <t>OS-2277</t>
        </is>
      </c>
      <c r="B779" t="inlineStr">
        <is>
          <t>Disjuntor desarmando no painel E-40</t>
        </is>
      </c>
      <c r="C779" t="inlineStr">
        <is>
          <t>Disjuntor do painel E-40 desarmou três vezes no turno. Carga dentro do nominal.</t>
        </is>
      </c>
      <c r="D779" t="inlineStr">
        <is>
          <t>ETA Central</t>
        </is>
      </c>
      <c r="E779" t="inlineStr">
        <is>
          <t>Média</t>
        </is>
      </c>
      <c r="F779" t="inlineStr">
        <is>
          <t>Larissa Bezerra</t>
        </is>
      </c>
      <c r="G779" t="inlineStr">
        <is>
          <t>Fechada</t>
        </is>
      </c>
      <c r="H779" s="5" t="n">
        <v>45896.34722222222</v>
      </c>
    </row>
    <row r="780">
      <c r="A780" t="inlineStr">
        <is>
          <t>OS-2278</t>
        </is>
      </c>
      <c r="B780" t="inlineStr">
        <is>
          <t>Bomba dosadora H-29 sem recalque</t>
        </is>
      </c>
      <c r="C780" t="inlineStr">
        <is>
          <t>Bomba dosadora H-29 liga mas não dosa. Mangueira sem obstrução aparente.</t>
        </is>
      </c>
      <c r="D780" t="inlineStr">
        <is>
          <t>Reservatório Alto da Colina</t>
        </is>
      </c>
      <c r="E780" t="inlineStr">
        <is>
          <t>Baixa</t>
        </is>
      </c>
      <c r="F780" t="inlineStr">
        <is>
          <t>Zeca Moraes</t>
        </is>
      </c>
      <c r="G780" t="inlineStr">
        <is>
          <t>Fechada</t>
        </is>
      </c>
      <c r="H780" s="5" t="n">
        <v>45896.67152777778</v>
      </c>
    </row>
    <row r="781">
      <c r="A781" t="inlineStr">
        <is>
          <t>OS-2279</t>
        </is>
      </c>
      <c r="B781" t="inlineStr">
        <is>
          <t>Correia do ventilador H-10 desgastada</t>
        </is>
      </c>
      <c r="C781" t="inlineStr">
        <is>
          <t>Correia do ventilador H-10 com trincas visíveis e folga excessiva.</t>
        </is>
      </c>
      <c r="D781" t="inlineStr">
        <is>
          <t>Reservatório Santa Luzia</t>
        </is>
      </c>
      <c r="E781" t="inlineStr">
        <is>
          <t>Média</t>
        </is>
      </c>
      <c r="F781" t="inlineStr">
        <is>
          <t>Igor Fonseca</t>
        </is>
      </c>
      <c r="G781" t="inlineStr">
        <is>
          <t>Fechada</t>
        </is>
      </c>
      <c r="H781" s="5" t="n">
        <v>45896.96041666667</v>
      </c>
    </row>
    <row r="782">
      <c r="A782" t="inlineStr">
        <is>
          <t>OS-2280</t>
        </is>
      </c>
      <c r="B782" t="inlineStr">
        <is>
          <t>Calha entupida no prédio F-03</t>
        </is>
      </c>
      <c r="C782" t="inlineStr">
        <is>
          <t>Calha do prédio F-03 transbordando em dia de chuva.</t>
        </is>
      </c>
      <c r="D782" t="inlineStr">
        <is>
          <t>ETE Rio Claro</t>
        </is>
      </c>
      <c r="E782" t="inlineStr">
        <is>
          <t>Crítica</t>
        </is>
      </c>
      <c r="F782" t="inlineStr">
        <is>
          <t>Glória Sampaio</t>
        </is>
      </c>
      <c r="G782" t="inlineStr">
        <is>
          <t>Fechada</t>
        </is>
      </c>
      <c r="H782" s="5" t="n">
        <v>45897.26319444444</v>
      </c>
    </row>
    <row r="783">
      <c r="A783" t="inlineStr">
        <is>
          <t>OS-2281</t>
        </is>
      </c>
      <c r="B783" t="inlineStr">
        <is>
          <t>Válvula D-36 não fecha por completo</t>
        </is>
      </c>
      <c r="C783" t="inlineStr">
        <is>
          <t>Válvula D-36 com passagem residual mesmo totalmente fechada. Possível desgaste da sede.</t>
        </is>
      </c>
      <c r="D783" t="inlineStr">
        <is>
          <t>Torre de Telecomunicação Morro Alto</t>
        </is>
      </c>
      <c r="E783" t="inlineStr">
        <is>
          <t>Média</t>
        </is>
      </c>
      <c r="F783" t="inlineStr">
        <is>
          <t>Bernardo Leal</t>
        </is>
      </c>
      <c r="G783" t="inlineStr">
        <is>
          <t>Fechada</t>
        </is>
      </c>
      <c r="H783" s="5" t="n">
        <v>45897.57291666666</v>
      </c>
    </row>
    <row r="784">
      <c r="A784" t="inlineStr">
        <is>
          <t>OS-2282</t>
        </is>
      </c>
      <c r="B784" t="inlineStr">
        <is>
          <t>Portão da área G-05 emperrado</t>
        </is>
      </c>
      <c r="C784" t="inlineStr">
        <is>
          <t>Portão de acesso da área G-05 exige força excessiva para abrir.</t>
        </is>
      </c>
      <c r="D784" t="inlineStr">
        <is>
          <t>Subestação Leste</t>
        </is>
      </c>
      <c r="E784" t="inlineStr">
        <is>
          <t>Média</t>
        </is>
      </c>
      <c r="F784" t="inlineStr">
        <is>
          <t>Érica Andrade</t>
        </is>
      </c>
      <c r="G784" t="inlineStr">
        <is>
          <t>Fechada</t>
        </is>
      </c>
      <c r="H784" s="5" t="n">
        <v>45897.89861111111</v>
      </c>
    </row>
    <row r="785">
      <c r="A785" t="inlineStr">
        <is>
          <t>OS-2283</t>
        </is>
      </c>
      <c r="B785" t="inlineStr">
        <is>
          <t>Correia do ventilador A-06 desgastada</t>
        </is>
      </c>
      <c r="C785" t="inlineStr">
        <is>
          <t>Correia do ventilador A-06 com trincas visíveis e folga excessiva.</t>
        </is>
      </c>
      <c r="D785" t="inlineStr">
        <is>
          <t>Estação Elevatória Leste</t>
        </is>
      </c>
      <c r="E785" t="inlineStr">
        <is>
          <t>Alta</t>
        </is>
      </c>
      <c r="F785" t="inlineStr">
        <is>
          <t>Marcos Vinícius Rocha</t>
        </is>
      </c>
      <c r="G785" t="inlineStr">
        <is>
          <t>Fechada</t>
        </is>
      </c>
      <c r="H785" s="5" t="n">
        <v>45898.20138888889</v>
      </c>
    </row>
    <row r="786">
      <c r="A786" t="inlineStr">
        <is>
          <t>OS-2284</t>
        </is>
      </c>
      <c r="B786" t="inlineStr">
        <is>
          <t>Sensor de nível sem leitura no tanque R-15</t>
        </is>
      </c>
      <c r="C786" t="inlineStr">
        <is>
          <t>Supervisório mostra leitura congelada do sensor de nível do tanque R-15.</t>
        </is>
      </c>
      <c r="D786" t="inlineStr">
        <is>
          <t>ETA Ribeirão Fundo</t>
        </is>
      </c>
      <c r="E786" t="inlineStr">
        <is>
          <t>Baixa</t>
        </is>
      </c>
      <c r="F786" t="inlineStr">
        <is>
          <t>Eduardo Salles</t>
        </is>
      </c>
      <c r="G786" t="inlineStr">
        <is>
          <t>Fechada</t>
        </is>
      </c>
      <c r="H786" s="5" t="n">
        <v>45898.51111111111</v>
      </c>
    </row>
    <row r="787">
      <c r="A787" t="inlineStr">
        <is>
          <t>OS-2285</t>
        </is>
      </c>
      <c r="B787" t="inlineStr">
        <is>
          <t>Bomba dosadora V-14 sem recalque</t>
        </is>
      </c>
      <c r="C787" t="inlineStr">
        <is>
          <t>Bomba dosadora V-14 liga mas não dosa. Mangueira sem obstrução aparente.</t>
        </is>
      </c>
      <c r="D787" t="inlineStr">
        <is>
          <t>Booster Parque das Águas</t>
        </is>
      </c>
      <c r="E787" t="inlineStr">
        <is>
          <t>Média</t>
        </is>
      </c>
      <c r="F787" t="inlineStr">
        <is>
          <t>Fernanda Quintela</t>
        </is>
      </c>
      <c r="G787" t="inlineStr">
        <is>
          <t>Fechada</t>
        </is>
      </c>
      <c r="H787" s="5" t="n">
        <v>45898.8125</v>
      </c>
    </row>
    <row r="788">
      <c r="A788" t="inlineStr">
        <is>
          <t>OS-2286</t>
        </is>
      </c>
      <c r="B788" t="inlineStr">
        <is>
          <t>Válvula R-24 não fecha por completo</t>
        </is>
      </c>
      <c r="C788" t="inlineStr">
        <is>
          <t>Válvula R-24 com passagem residual mesmo totalmente fechada. Possível desgaste da sede.</t>
        </is>
      </c>
      <c r="D788" t="inlineStr">
        <is>
          <t>Usina Fotovoltaica Cerrado</t>
        </is>
      </c>
      <c r="E788" t="inlineStr">
        <is>
          <t>Média</t>
        </is>
      </c>
      <c r="F788" t="inlineStr">
        <is>
          <t>Lívia Montenegro</t>
        </is>
      </c>
      <c r="G788" t="inlineStr">
        <is>
          <t>Fechada</t>
        </is>
      </c>
      <c r="H788" s="5" t="n">
        <v>45899.11736111111</v>
      </c>
    </row>
    <row r="789">
      <c r="A789" t="inlineStr">
        <is>
          <t>OS-2287</t>
        </is>
      </c>
      <c r="B789" t="inlineStr">
        <is>
          <t>Válvula E-16 não fecha por completo</t>
        </is>
      </c>
      <c r="C789" t="inlineStr">
        <is>
          <t>Válvula E-16 com passagem residual mesmo totalmente fechada. Possível desgaste da sede.</t>
        </is>
      </c>
      <c r="D789" t="inlineStr">
        <is>
          <t>Reservatório Industrial</t>
        </is>
      </c>
      <c r="E789" t="inlineStr">
        <is>
          <t>Baixa</t>
        </is>
      </c>
      <c r="F789" t="inlineStr">
        <is>
          <t>Daniela Pires</t>
        </is>
      </c>
      <c r="G789" t="inlineStr">
        <is>
          <t>Fechada</t>
        </is>
      </c>
      <c r="H789" s="5" t="n">
        <v>45899.40833333333</v>
      </c>
    </row>
    <row r="790">
      <c r="A790" t="inlineStr">
        <is>
          <t>OS-2288</t>
        </is>
      </c>
      <c r="B790" t="inlineStr">
        <is>
          <t>Medidor de vazão D-40 com leitura instável</t>
        </is>
      </c>
      <c r="C790" t="inlineStr">
        <is>
          <t>Medidor de vazão D-40 oscila sem variação de processo.</t>
        </is>
      </c>
      <c r="D790" t="inlineStr">
        <is>
          <t>ETA Serra Azul</t>
        </is>
      </c>
      <c r="E790" t="inlineStr">
        <is>
          <t>Baixa</t>
        </is>
      </c>
      <c r="F790" t="inlineStr">
        <is>
          <t>Beatriz Farias</t>
        </is>
      </c>
      <c r="G790" t="inlineStr">
        <is>
          <t>Fechada</t>
        </is>
      </c>
      <c r="H790" s="5" t="n">
        <v>45899.73888888889</v>
      </c>
    </row>
    <row r="791">
      <c r="A791" t="inlineStr">
        <is>
          <t>OS-2289</t>
        </is>
      </c>
      <c r="B791" t="inlineStr">
        <is>
          <t>Correia do ventilador F-22 desgastada</t>
        </is>
      </c>
      <c r="C791" t="inlineStr">
        <is>
          <t>Correia do ventilador F-22 com trincas visíveis e folga excessiva.</t>
        </is>
      </c>
      <c r="D791" t="inlineStr">
        <is>
          <t>Estação Elevatória Leste</t>
        </is>
      </c>
      <c r="E791" t="inlineStr">
        <is>
          <t>Baixa</t>
        </is>
      </c>
      <c r="F791" t="inlineStr">
        <is>
          <t>Marcos Vinícius Rocha</t>
        </is>
      </c>
      <c r="G791" t="inlineStr">
        <is>
          <t>Fechada</t>
        </is>
      </c>
      <c r="H791" s="5" t="n">
        <v>45900.00902777778</v>
      </c>
    </row>
    <row r="792">
      <c r="A792" t="inlineStr">
        <is>
          <t>OS-2290</t>
        </is>
      </c>
      <c r="B792" t="inlineStr">
        <is>
          <t>Vazamento de óleo no redutor E-15</t>
        </is>
      </c>
      <c r="C792" t="inlineStr">
        <is>
          <t>Gotejamento de óleo no redutor E-15. Nível ainda dentro da faixa.</t>
        </is>
      </c>
      <c r="D792" t="inlineStr">
        <is>
          <t>Estação Elevatória Oeste</t>
        </is>
      </c>
      <c r="E792" t="inlineStr">
        <is>
          <t>Média</t>
        </is>
      </c>
      <c r="F792" t="inlineStr">
        <is>
          <t>Alex Nogueira</t>
        </is>
      </c>
      <c r="G792" t="inlineStr">
        <is>
          <t>Fechada</t>
        </is>
      </c>
      <c r="H792" s="5" t="n">
        <v>45900.34861111111</v>
      </c>
    </row>
    <row r="793">
      <c r="A793" t="inlineStr">
        <is>
          <t>OS-2291</t>
        </is>
      </c>
      <c r="B793" t="inlineStr">
        <is>
          <t>Troca de filtro do compressor H-06</t>
        </is>
      </c>
      <c r="C793" t="inlineStr">
        <is>
          <t>Filtro de ar do compressor H-06 saturado. Substituição preventiva.</t>
        </is>
      </c>
      <c r="D793" t="inlineStr">
        <is>
          <t>Base Operacional Litoral</t>
        </is>
      </c>
      <c r="E793" t="inlineStr">
        <is>
          <t>Média</t>
        </is>
      </c>
      <c r="F793" t="inlineStr">
        <is>
          <t>Marcos Vinícius Rocha</t>
        </is>
      </c>
      <c r="G793" t="inlineStr">
        <is>
          <t>Fechada</t>
        </is>
      </c>
      <c r="H793" s="5" t="n">
        <v>45900.63194444445</v>
      </c>
    </row>
    <row r="794">
      <c r="A794" t="inlineStr">
        <is>
          <t>OS-2292</t>
        </is>
      </c>
      <c r="B794" t="inlineStr">
        <is>
          <t>Pintura descascada na estrutura A-11</t>
        </is>
      </c>
      <c r="C794" t="inlineStr">
        <is>
          <t>Estrutura metálica A-11 com pontos de corrosão sob a pintura.</t>
        </is>
      </c>
      <c r="D794" t="inlineStr">
        <is>
          <t>Usina Fotovoltaica Cerrado</t>
        </is>
      </c>
      <c r="E794" t="inlineStr">
        <is>
          <t>Média</t>
        </is>
      </c>
      <c r="F794" t="inlineStr">
        <is>
          <t>Simone Carvalho</t>
        </is>
      </c>
      <c r="G794" t="inlineStr">
        <is>
          <t>Fechada</t>
        </is>
      </c>
      <c r="H794" s="5" t="n">
        <v>45900.94444444445</v>
      </c>
    </row>
    <row r="795">
      <c r="A795" t="inlineStr">
        <is>
          <t>OS-2293</t>
        </is>
      </c>
      <c r="B795" t="inlineStr">
        <is>
          <t>Portão da área H-16 emperrado</t>
        </is>
      </c>
      <c r="C795" t="inlineStr">
        <is>
          <t>Portão de acesso da área H-16 exige força excessiva para abrir.</t>
        </is>
      </c>
      <c r="D795" t="inlineStr">
        <is>
          <t>Oficina Elétrica Central</t>
        </is>
      </c>
      <c r="E795" t="inlineStr">
        <is>
          <t>Média</t>
        </is>
      </c>
      <c r="F795" t="inlineStr">
        <is>
          <t>Juliana Aguiar</t>
        </is>
      </c>
      <c r="G795" t="inlineStr">
        <is>
          <t>Fechada</t>
        </is>
      </c>
      <c r="H795" s="5" t="n">
        <v>45901.24722222222</v>
      </c>
    </row>
    <row r="796">
      <c r="A796" t="inlineStr">
        <is>
          <t>OS-2294</t>
        </is>
      </c>
      <c r="B796" t="inlineStr">
        <is>
          <t>Disjuntor desarmando no painel M-19</t>
        </is>
      </c>
      <c r="C796" t="inlineStr">
        <is>
          <t>Disjuntor do painel M-19 desarmou três vezes no turno. Carga dentro do nominal.</t>
        </is>
      </c>
      <c r="D796" t="inlineStr">
        <is>
          <t>Captação Rio Verde</t>
        </is>
      </c>
      <c r="E796" t="inlineStr">
        <is>
          <t>Média</t>
        </is>
      </c>
      <c r="F796" t="inlineStr">
        <is>
          <t>Heloísa Barreto</t>
        </is>
      </c>
      <c r="G796" t="inlineStr">
        <is>
          <t>Fechada</t>
        </is>
      </c>
      <c r="H796" s="5" t="n">
        <v>45901.53888888889</v>
      </c>
    </row>
    <row r="797">
      <c r="A797" t="inlineStr">
        <is>
          <t>OS-2295</t>
        </is>
      </c>
      <c r="B797" t="inlineStr">
        <is>
          <t>Ar-condicionado da sala T-23 sem refrigerar</t>
        </is>
      </c>
      <c r="C797" t="inlineStr">
        <is>
          <t>Ar-condicionado da sala de painéis T-23 ligado sem refrigerar.</t>
        </is>
      </c>
      <c r="D797" t="inlineStr">
        <is>
          <t>Almoxarifado Central</t>
        </is>
      </c>
      <c r="E797" t="inlineStr">
        <is>
          <t>Média</t>
        </is>
      </c>
      <c r="F797" t="inlineStr">
        <is>
          <t>Bernardo Leal</t>
        </is>
      </c>
      <c r="G797" t="inlineStr">
        <is>
          <t>Fechada</t>
        </is>
      </c>
      <c r="H797" s="5" t="n">
        <v>45901.84027777778</v>
      </c>
    </row>
    <row r="798">
      <c r="A798" t="inlineStr">
        <is>
          <t>OS-2296</t>
        </is>
      </c>
      <c r="B798" t="inlineStr">
        <is>
          <t>Ruído anormal no motor E-31</t>
        </is>
      </c>
      <c r="C798" t="inlineStr">
        <is>
          <t>Ruído intermitente no motor E-31 durante a partida. Temperatura normal ao toque.</t>
        </is>
      </c>
      <c r="D798" t="inlineStr">
        <is>
          <t>Torre de Telecomunicação Morro Alto</t>
        </is>
      </c>
      <c r="E798" t="inlineStr">
        <is>
          <t>Baixa</t>
        </is>
      </c>
      <c r="F798" t="inlineStr">
        <is>
          <t>Otávio Lacerda</t>
        </is>
      </c>
      <c r="G798" t="inlineStr">
        <is>
          <t>Fechada</t>
        </is>
      </c>
      <c r="H798" s="5" t="n">
        <v>45902.16319444445</v>
      </c>
    </row>
    <row r="799">
      <c r="A799" t="inlineStr">
        <is>
          <t>OS-2297</t>
        </is>
      </c>
      <c r="B799" t="inlineStr">
        <is>
          <t>Falha de comunicação no CLP A-38</t>
        </is>
      </c>
      <c r="C799" t="inlineStr">
        <is>
          <t>CLP A-38 perde comunicação com o supervisório em intervalos irregulares.</t>
        </is>
      </c>
      <c r="D799" t="inlineStr">
        <is>
          <t>ETA Central</t>
        </is>
      </c>
      <c r="E799" t="inlineStr">
        <is>
          <t>Média</t>
        </is>
      </c>
      <c r="F799" t="inlineStr">
        <is>
          <t>Aline Rocha</t>
        </is>
      </c>
      <c r="G799" t="inlineStr">
        <is>
          <t>Fechada</t>
        </is>
      </c>
      <c r="H799" s="5" t="n">
        <v>45902.45486111111</v>
      </c>
    </row>
    <row r="800">
      <c r="A800" t="inlineStr">
        <is>
          <t>OS-2298</t>
        </is>
      </c>
      <c r="B800" t="inlineStr">
        <is>
          <t>Correia do ventilador G-17 desgastada</t>
        </is>
      </c>
      <c r="C800" t="inlineStr">
        <is>
          <t>Correia do ventilador G-17 com trincas visíveis e folga excessiva.</t>
        </is>
      </c>
      <c r="D800" t="inlineStr">
        <is>
          <t>Adutora Tronco Sul</t>
        </is>
      </c>
      <c r="E800" t="inlineStr">
        <is>
          <t>Baixa</t>
        </is>
      </c>
      <c r="F800" t="inlineStr">
        <is>
          <t>Natália Cordeiro</t>
        </is>
      </c>
      <c r="G800" t="inlineStr">
        <is>
          <t>Fechada</t>
        </is>
      </c>
      <c r="H800" s="5" t="n">
        <v>45902.76180555556</v>
      </c>
    </row>
    <row r="801">
      <c r="A801" t="inlineStr">
        <is>
          <t>OS-2299</t>
        </is>
      </c>
      <c r="B801" t="inlineStr">
        <is>
          <t>Pintura descascada na estrutura A-13</t>
        </is>
      </c>
      <c r="C801" t="inlineStr">
        <is>
          <t>Estrutura metálica A-13 com pontos de corrosão sob a pintura.</t>
        </is>
      </c>
      <c r="D801" t="inlineStr">
        <is>
          <t>Subestação Leste</t>
        </is>
      </c>
      <c r="E801" t="inlineStr">
        <is>
          <t>Média</t>
        </is>
      </c>
      <c r="F801" t="inlineStr">
        <is>
          <t>Cíntia Freitas</t>
        </is>
      </c>
      <c r="G801" t="inlineStr">
        <is>
          <t>Fechada</t>
        </is>
      </c>
      <c r="H801" s="5" t="n">
        <v>45903.09513888889</v>
      </c>
    </row>
    <row r="802">
      <c r="A802" t="inlineStr">
        <is>
          <t>OS-2300</t>
        </is>
      </c>
      <c r="B802" t="inlineStr">
        <is>
          <t>Correia do ventilador P-04 desgastada</t>
        </is>
      </c>
      <c r="C802" t="inlineStr">
        <is>
          <t>Correia do ventilador P-04 com trincas visíveis e folga excessiva.</t>
        </is>
      </c>
      <c r="D802" t="inlineStr">
        <is>
          <t>Captação Rio Verde</t>
        </is>
      </c>
      <c r="E802" t="inlineStr">
        <is>
          <t>Média</t>
        </is>
      </c>
      <c r="F802" t="inlineStr">
        <is>
          <t>Priscila Guedes</t>
        </is>
      </c>
      <c r="G802" t="inlineStr">
        <is>
          <t>Fechada</t>
        </is>
      </c>
      <c r="H802" s="5" t="n">
        <v>45903.39722222222</v>
      </c>
    </row>
    <row r="803">
      <c r="A803" t="inlineStr">
        <is>
          <t>OS-2301</t>
        </is>
      </c>
      <c r="B803" t="inlineStr">
        <is>
          <t>Pintura descascada na estrutura G-13</t>
        </is>
      </c>
      <c r="C803" t="inlineStr">
        <is>
          <t>Estrutura metálica G-13 com pontos de corrosão sob a pintura.</t>
        </is>
      </c>
      <c r="D803" t="inlineStr">
        <is>
          <t>Base Operacional Litoral</t>
        </is>
      </c>
      <c r="E803" t="inlineStr">
        <is>
          <t>Baixa</t>
        </is>
      </c>
      <c r="F803" t="inlineStr">
        <is>
          <t>Hugo Albuquerque</t>
        </is>
      </c>
      <c r="G803" t="inlineStr">
        <is>
          <t>Fechada</t>
        </is>
      </c>
      <c r="H803" s="5" t="n">
        <v>45903.69722222222</v>
      </c>
    </row>
    <row r="804">
      <c r="A804" t="inlineStr">
        <is>
          <t>OS-2302</t>
        </is>
      </c>
      <c r="B804" t="inlineStr">
        <is>
          <t>Válvula P-18 não fecha por completo</t>
        </is>
      </c>
      <c r="C804" t="inlineStr">
        <is>
          <t>Válvula P-18 com passagem residual mesmo totalmente fechada. Possível desgaste da sede.</t>
        </is>
      </c>
      <c r="D804" t="inlineStr">
        <is>
          <t>Adutora Tronco Sul</t>
        </is>
      </c>
      <c r="E804" t="inlineStr">
        <is>
          <t>Baixa</t>
        </is>
      </c>
      <c r="F804" t="inlineStr">
        <is>
          <t>Hugo Albuquerque</t>
        </is>
      </c>
      <c r="G804" t="inlineStr">
        <is>
          <t>Fechada</t>
        </is>
      </c>
      <c r="H804" s="5" t="n">
        <v>45903.98958333334</v>
      </c>
    </row>
    <row r="805">
      <c r="A805" t="inlineStr">
        <is>
          <t>OS-2303</t>
        </is>
      </c>
      <c r="B805" t="inlineStr">
        <is>
          <t>Correia do ventilador A-19 desgastada</t>
        </is>
      </c>
      <c r="C805" t="inlineStr">
        <is>
          <t>Correia do ventilador A-19 com trincas visíveis e folga excessiva.</t>
        </is>
      </c>
      <c r="D805" t="inlineStr">
        <is>
          <t>Captação Rio Verde</t>
        </is>
      </c>
      <c r="E805" t="inlineStr">
        <is>
          <t>Média</t>
        </is>
      </c>
      <c r="F805" t="inlineStr">
        <is>
          <t>Larissa Bezerra</t>
        </is>
      </c>
      <c r="G805" t="inlineStr">
        <is>
          <t>Fechada</t>
        </is>
      </c>
      <c r="H805" s="5" t="n">
        <v>45904.28402777778</v>
      </c>
    </row>
    <row r="806">
      <c r="A806" t="inlineStr">
        <is>
          <t>OS-2304</t>
        </is>
      </c>
      <c r="B806" t="inlineStr">
        <is>
          <t>Calha entupida no prédio G-29</t>
        </is>
      </c>
      <c r="C806" t="inlineStr">
        <is>
          <t>Calha do prédio G-29 transbordando em dia de chuva.</t>
        </is>
      </c>
      <c r="D806" t="inlineStr">
        <is>
          <t>Reservatório Santa Luzia</t>
        </is>
      </c>
      <c r="E806" t="inlineStr">
        <is>
          <t>Média</t>
        </is>
      </c>
      <c r="F806" t="inlineStr">
        <is>
          <t>Érica Andrade</t>
        </is>
      </c>
      <c r="G806" t="inlineStr">
        <is>
          <t>Fechada</t>
        </is>
      </c>
      <c r="H806" s="5" t="n">
        <v>45904.59027777778</v>
      </c>
    </row>
    <row r="807">
      <c r="A807" t="inlineStr">
        <is>
          <t>OS-2305</t>
        </is>
      </c>
      <c r="B807" t="inlineStr">
        <is>
          <t>Disjuntor desarmando no painel H-10</t>
        </is>
      </c>
      <c r="C807" t="inlineStr">
        <is>
          <t>Disjuntor do painel H-10 desarmou três vezes no turno. Carga dentro do nominal.</t>
        </is>
      </c>
      <c r="D807" t="inlineStr">
        <is>
          <t>ETA Central</t>
        </is>
      </c>
      <c r="E807" t="inlineStr">
        <is>
          <t>Média</t>
        </is>
      </c>
      <c r="F807" t="inlineStr">
        <is>
          <t>Ingrid Queiroz</t>
        </is>
      </c>
      <c r="G807" t="inlineStr">
        <is>
          <t>Fechada</t>
        </is>
      </c>
      <c r="H807" s="5" t="n">
        <v>45904.91458333333</v>
      </c>
    </row>
    <row r="808">
      <c r="A808" t="inlineStr">
        <is>
          <t>OS-2306</t>
        </is>
      </c>
      <c r="B808" t="inlineStr">
        <is>
          <t>Infiltração na parede da casa de bombas R-06</t>
        </is>
      </c>
      <c r="C808" t="inlineStr">
        <is>
          <t>Mancha de umidade crescente na parede da casa de bombas R-06.</t>
        </is>
      </c>
      <c r="D808" t="inlineStr">
        <is>
          <t>Torre de Telecomunicação Morro Alto</t>
        </is>
      </c>
      <c r="E808" t="inlineStr">
        <is>
          <t>Média</t>
        </is>
      </c>
      <c r="F808" t="inlineStr">
        <is>
          <t>Jonas Teles</t>
        </is>
      </c>
      <c r="G808" t="inlineStr">
        <is>
          <t>Fechada</t>
        </is>
      </c>
      <c r="H808" s="5" t="n">
        <v>45905.21111111111</v>
      </c>
    </row>
    <row r="809">
      <c r="A809" t="inlineStr">
        <is>
          <t>OS-2307</t>
        </is>
      </c>
      <c r="B809" t="inlineStr">
        <is>
          <t>Válvula R-36 não fecha por completo</t>
        </is>
      </c>
      <c r="C809" t="inlineStr">
        <is>
          <t>Válvula R-36 com passagem residual mesmo totalmente fechada. Possível desgaste da sede.</t>
        </is>
      </c>
      <c r="D809" t="inlineStr">
        <is>
          <t>ETE Jardim Bela Vista</t>
        </is>
      </c>
      <c r="E809" t="inlineStr">
        <is>
          <t>Alta</t>
        </is>
      </c>
      <c r="F809" t="inlineStr">
        <is>
          <t>Glória Sampaio</t>
        </is>
      </c>
      <c r="G809" t="inlineStr">
        <is>
          <t>Fechada</t>
        </is>
      </c>
      <c r="H809" s="5" t="n">
        <v>45905.51041666666</v>
      </c>
    </row>
    <row r="810">
      <c r="A810" t="inlineStr">
        <is>
          <t>OS-2308</t>
        </is>
      </c>
      <c r="B810" t="inlineStr">
        <is>
          <t>Medidor de vazão E-24 com leitura instável</t>
        </is>
      </c>
      <c r="C810" t="inlineStr">
        <is>
          <t>Medidor de vazão E-24 oscila sem variação de processo.</t>
        </is>
      </c>
      <c r="D810" t="inlineStr">
        <is>
          <t>Estação Elevatória Porto</t>
        </is>
      </c>
      <c r="E810" t="inlineStr">
        <is>
          <t>Baixa</t>
        </is>
      </c>
      <c r="F810" t="inlineStr">
        <is>
          <t>Simone Carvalho</t>
        </is>
      </c>
      <c r="G810" t="inlineStr">
        <is>
          <t>Fechada</t>
        </is>
      </c>
      <c r="H810" s="5" t="n">
        <v>45905.83819444444</v>
      </c>
    </row>
    <row r="811">
      <c r="A811" t="inlineStr">
        <is>
          <t>OS-2309</t>
        </is>
      </c>
      <c r="B811" t="inlineStr">
        <is>
          <t>Aquecimento no mancal do motor G-22</t>
        </is>
      </c>
      <c r="C811" t="inlineStr">
        <is>
          <t>Mancal do motor G-22 acima da temperatura usual na medição com termômetro infravermelho.</t>
        </is>
      </c>
      <c r="D811" t="inlineStr">
        <is>
          <t>ETA Ribeirão Fundo</t>
        </is>
      </c>
      <c r="E811" t="inlineStr">
        <is>
          <t>Crítica</t>
        </is>
      </c>
      <c r="F811" t="inlineStr">
        <is>
          <t>Igor Fonseca</t>
        </is>
      </c>
      <c r="G811" t="inlineStr">
        <is>
          <t>Fechada</t>
        </is>
      </c>
      <c r="H811" s="5" t="n">
        <v>45906.12083333333</v>
      </c>
    </row>
    <row r="812">
      <c r="A812" t="inlineStr">
        <is>
          <t>OS-2310</t>
        </is>
      </c>
      <c r="B812" t="inlineStr">
        <is>
          <t>Aquecimento no mancal do motor R-22</t>
        </is>
      </c>
      <c r="C812" t="inlineStr">
        <is>
          <t>Mancal do motor R-22 acima da temperatura usual na medição com termômetro infravermelho.</t>
        </is>
      </c>
      <c r="D812" t="inlineStr">
        <is>
          <t>Subestação Sul</t>
        </is>
      </c>
      <c r="E812" t="inlineStr">
        <is>
          <t>Média</t>
        </is>
      </c>
      <c r="F812" t="inlineStr">
        <is>
          <t>Danilo Peixoto</t>
        </is>
      </c>
      <c r="G812" t="inlineStr">
        <is>
          <t>Fechada</t>
        </is>
      </c>
      <c r="H812" s="5" t="n">
        <v>45906.42708333334</v>
      </c>
    </row>
    <row r="813">
      <c r="A813" t="inlineStr">
        <is>
          <t>OS-2311</t>
        </is>
      </c>
      <c r="B813" t="inlineStr">
        <is>
          <t>Falha de comunicação no CLP G-02</t>
        </is>
      </c>
      <c r="C813" t="inlineStr">
        <is>
          <t>CLP G-02 perde comunicação com o supervisório em intervalos irregulares.</t>
        </is>
      </c>
      <c r="D813" t="inlineStr">
        <is>
          <t>ETE Jardim Bela Vista</t>
        </is>
      </c>
      <c r="E813" t="inlineStr">
        <is>
          <t>Alta</t>
        </is>
      </c>
      <c r="F813" t="inlineStr">
        <is>
          <t>Flávio Gusmão</t>
        </is>
      </c>
      <c r="G813" t="inlineStr">
        <is>
          <t>Fechada</t>
        </is>
      </c>
      <c r="H813" s="5" t="n">
        <v>45906.75277777778</v>
      </c>
    </row>
    <row r="814">
      <c r="A814" t="inlineStr">
        <is>
          <t>OS-2312</t>
        </is>
      </c>
      <c r="B814" t="inlineStr">
        <is>
          <t>Ruído anormal no motor D-05</t>
        </is>
      </c>
      <c r="C814" t="inlineStr">
        <is>
          <t>Ruído intermitente no motor D-05 durante a partida. Temperatura normal ao toque.</t>
        </is>
      </c>
      <c r="D814" t="inlineStr">
        <is>
          <t>Captação Rio Verde</t>
        </is>
      </c>
      <c r="E814" t="inlineStr">
        <is>
          <t>Alta</t>
        </is>
      </c>
      <c r="F814" t="inlineStr">
        <is>
          <t>Priscila Guedes</t>
        </is>
      </c>
      <c r="G814" t="inlineStr">
        <is>
          <t>Fechada</t>
        </is>
      </c>
      <c r="H814" s="5" t="n">
        <v>45907.06180555555</v>
      </c>
    </row>
    <row r="815">
      <c r="A815" t="inlineStr">
        <is>
          <t>OS-2313</t>
        </is>
      </c>
      <c r="B815" t="inlineStr">
        <is>
          <t>Vazamento de óleo no redutor E-16</t>
        </is>
      </c>
      <c r="C815" t="inlineStr">
        <is>
          <t>Gotejamento de óleo no redutor E-16. Nível ainda dentro da faixa.</t>
        </is>
      </c>
      <c r="D815" t="inlineStr">
        <is>
          <t>Subestação Oeste</t>
        </is>
      </c>
      <c r="E815" t="inlineStr">
        <is>
          <t>Média</t>
        </is>
      </c>
      <c r="F815" t="inlineStr">
        <is>
          <t>Murilo Paiva</t>
        </is>
      </c>
      <c r="G815" t="inlineStr">
        <is>
          <t>Fechada</t>
        </is>
      </c>
      <c r="H815" s="5" t="n">
        <v>45907.34027777778</v>
      </c>
    </row>
    <row r="816">
      <c r="A816" t="inlineStr">
        <is>
          <t>OS-2314</t>
        </is>
      </c>
      <c r="B816" t="inlineStr">
        <is>
          <t>Tomada sem energia na sala F-28</t>
        </is>
      </c>
      <c r="C816" t="inlineStr">
        <is>
          <t>Tomada de serviço da sala F-28 sem tensão.</t>
        </is>
      </c>
      <c r="D816" t="inlineStr">
        <is>
          <t>Usina Fotovoltaica Cerrado</t>
        </is>
      </c>
      <c r="E816" t="inlineStr">
        <is>
          <t>Média</t>
        </is>
      </c>
      <c r="F816" t="inlineStr">
        <is>
          <t>Thiago Bastos</t>
        </is>
      </c>
      <c r="G816" t="inlineStr">
        <is>
          <t>Fechada</t>
        </is>
      </c>
      <c r="H816" s="5" t="n">
        <v>45907.6625</v>
      </c>
    </row>
    <row r="817">
      <c r="A817" t="inlineStr">
        <is>
          <t>OS-2315</t>
        </is>
      </c>
      <c r="B817" t="inlineStr">
        <is>
          <t>Bomba dosadora F-37 sem recalque</t>
        </is>
      </c>
      <c r="C817" t="inlineStr">
        <is>
          <t>Bomba dosadora F-37 liga mas não dosa. Mangueira sem obstrução aparente.</t>
        </is>
      </c>
      <c r="D817" t="inlineStr">
        <is>
          <t>Estação Elevatória Leste</t>
        </is>
      </c>
      <c r="E817" t="inlineStr">
        <is>
          <t>Alta</t>
        </is>
      </c>
      <c r="F817" t="inlineStr">
        <is>
          <t>Zeca Moraes</t>
        </is>
      </c>
      <c r="G817" t="inlineStr">
        <is>
          <t>Fechada</t>
        </is>
      </c>
      <c r="H817" s="5" t="n">
        <v>45907.97430555556</v>
      </c>
    </row>
    <row r="818">
      <c r="A818" t="inlineStr">
        <is>
          <t>OS-2316</t>
        </is>
      </c>
      <c r="B818" t="inlineStr">
        <is>
          <t>Bomba dosadora P-23 sem recalque</t>
        </is>
      </c>
      <c r="C818" t="inlineStr">
        <is>
          <t>Bomba dosadora P-23 liga mas não dosa. Mangueira sem obstrução aparente.</t>
        </is>
      </c>
      <c r="D818" t="inlineStr">
        <is>
          <t>Reservatório Alto da Colina</t>
        </is>
      </c>
      <c r="E818" t="inlineStr">
        <is>
          <t>Média</t>
        </is>
      </c>
      <c r="F818" t="inlineStr">
        <is>
          <t>Aline Rocha</t>
        </is>
      </c>
      <c r="G818" t="inlineStr">
        <is>
          <t>Fechada</t>
        </is>
      </c>
      <c r="H818" s="5" t="n">
        <v>45908.26805555556</v>
      </c>
    </row>
    <row r="819">
      <c r="A819" t="inlineStr">
        <is>
          <t>OS-2317</t>
        </is>
      </c>
      <c r="B819" t="inlineStr">
        <is>
          <t>Ruído anormal no motor F-35</t>
        </is>
      </c>
      <c r="C819" t="inlineStr">
        <is>
          <t>Ruído intermitente no motor F-35 durante a partida. Temperatura normal ao toque.</t>
        </is>
      </c>
      <c r="D819" t="inlineStr">
        <is>
          <t>ETE Rio Claro</t>
        </is>
      </c>
      <c r="E819" t="inlineStr">
        <is>
          <t>Média</t>
        </is>
      </c>
      <c r="F819" t="inlineStr">
        <is>
          <t>Caio Rangel</t>
        </is>
      </c>
      <c r="G819" t="inlineStr">
        <is>
          <t>Fechada</t>
        </is>
      </c>
      <c r="H819" s="5" t="n">
        <v>45908.55902777778</v>
      </c>
    </row>
    <row r="820">
      <c r="A820" t="inlineStr">
        <is>
          <t>OS-2318</t>
        </is>
      </c>
      <c r="B820" t="inlineStr">
        <is>
          <t>Aquecimento no mancal do motor R-02</t>
        </is>
      </c>
      <c r="C820" t="inlineStr">
        <is>
          <t>Mancal do motor R-02 acima da temperatura usual na medição com termômetro infravermelho.</t>
        </is>
      </c>
      <c r="D820" t="inlineStr">
        <is>
          <t>Laboratório de Controle</t>
        </is>
      </c>
      <c r="E820" t="inlineStr">
        <is>
          <t>Baixa</t>
        </is>
      </c>
      <c r="F820" t="inlineStr">
        <is>
          <t>Ingrid Queiroz</t>
        </is>
      </c>
      <c r="G820" t="inlineStr">
        <is>
          <t>Fechada</t>
        </is>
      </c>
      <c r="H820" s="5" t="n">
        <v>45908.86944444444</v>
      </c>
    </row>
    <row r="821">
      <c r="A821" t="inlineStr">
        <is>
          <t>OS-2319</t>
        </is>
      </c>
      <c r="B821" t="inlineStr">
        <is>
          <t>Ar-condicionado da sala R-40 sem refrigerar</t>
        </is>
      </c>
      <c r="C821" t="inlineStr">
        <is>
          <t>Ar-condicionado da sala de painéis R-40 ligado sem refrigerar.</t>
        </is>
      </c>
      <c r="D821" t="inlineStr">
        <is>
          <t>Estação Elevatória Porto</t>
        </is>
      </c>
      <c r="E821" t="inlineStr">
        <is>
          <t>Baixa</t>
        </is>
      </c>
      <c r="F821" t="inlineStr">
        <is>
          <t>Otávio Lacerda</t>
        </is>
      </c>
      <c r="G821" t="inlineStr">
        <is>
          <t>Fechada</t>
        </is>
      </c>
      <c r="H821" s="5" t="n">
        <v>45909.15555555555</v>
      </c>
    </row>
    <row r="822">
      <c r="A822" t="inlineStr">
        <is>
          <t>OS-2320</t>
        </is>
      </c>
      <c r="B822" t="inlineStr">
        <is>
          <t>Portão da área M-30 emperrado</t>
        </is>
      </c>
      <c r="C822" t="inlineStr">
        <is>
          <t>Portão de acesso da área M-30 exige força excessiva para abrir.</t>
        </is>
      </c>
      <c r="D822" t="inlineStr">
        <is>
          <t>Subestação Norte</t>
        </is>
      </c>
      <c r="E822" t="inlineStr">
        <is>
          <t>Média</t>
        </is>
      </c>
      <c r="F822" t="inlineStr">
        <is>
          <t>Aline Rocha</t>
        </is>
      </c>
      <c r="G822" t="inlineStr">
        <is>
          <t>Fechada</t>
        </is>
      </c>
      <c r="H822" s="5" t="n">
        <v>45909.46805555555</v>
      </c>
    </row>
    <row r="823">
      <c r="A823" t="inlineStr">
        <is>
          <t>OS-2321</t>
        </is>
      </c>
      <c r="B823" t="inlineStr">
        <is>
          <t>Troca de filtro do compressor D-40</t>
        </is>
      </c>
      <c r="C823" t="inlineStr">
        <is>
          <t>Filtro de ar do compressor D-40 saturado. Substituição preventiva.</t>
        </is>
      </c>
      <c r="D823" t="inlineStr">
        <is>
          <t>Centro de Operações</t>
        </is>
      </c>
      <c r="E823" t="inlineStr">
        <is>
          <t>Média</t>
        </is>
      </c>
      <c r="F823" t="inlineStr">
        <is>
          <t>Fernanda Quintela</t>
        </is>
      </c>
      <c r="G823" t="inlineStr">
        <is>
          <t>Fechada</t>
        </is>
      </c>
      <c r="H823" s="5" t="n">
        <v>45909.78472222222</v>
      </c>
    </row>
    <row r="824">
      <c r="A824" t="inlineStr">
        <is>
          <t>OS-2322</t>
        </is>
      </c>
      <c r="B824" t="inlineStr">
        <is>
          <t>Aquecimento no mancal do motor T-05</t>
        </is>
      </c>
      <c r="C824" t="inlineStr">
        <is>
          <t>Mancal do motor T-05 acima da temperatura usual na medição com termômetro infravermelho.</t>
        </is>
      </c>
      <c r="D824" t="inlineStr">
        <is>
          <t>Torre de Telecomunicação Morro Alto</t>
        </is>
      </c>
      <c r="E824" t="inlineStr">
        <is>
          <t>Baixa</t>
        </is>
      </c>
      <c r="F824" t="inlineStr">
        <is>
          <t>Heloísa Barreto</t>
        </is>
      </c>
      <c r="G824" t="inlineStr">
        <is>
          <t>Fechada</t>
        </is>
      </c>
      <c r="H824" s="5" t="n">
        <v>45910.10347222222</v>
      </c>
    </row>
    <row r="825">
      <c r="A825" t="inlineStr">
        <is>
          <t>OS-2323</t>
        </is>
      </c>
      <c r="B825" t="inlineStr">
        <is>
          <t>Infiltração na parede da casa de bombas A-19</t>
        </is>
      </c>
      <c r="C825" t="inlineStr">
        <is>
          <t>Mancha de umidade crescente na parede da casa de bombas A-19.</t>
        </is>
      </c>
      <c r="D825" t="inlineStr">
        <is>
          <t>ETE Jardim Bela Vista</t>
        </is>
      </c>
      <c r="E825" t="inlineStr">
        <is>
          <t>Média</t>
        </is>
      </c>
      <c r="F825" t="inlineStr">
        <is>
          <t>Daniela Pires</t>
        </is>
      </c>
      <c r="G825" t="inlineStr">
        <is>
          <t>Fechada</t>
        </is>
      </c>
      <c r="H825" s="5" t="n">
        <v>45910.40138888889</v>
      </c>
    </row>
    <row r="826">
      <c r="A826" t="inlineStr">
        <is>
          <t>OS-2324</t>
        </is>
      </c>
      <c r="B826" t="inlineStr">
        <is>
          <t>Falha de comunicação no CLP E-30</t>
        </is>
      </c>
      <c r="C826" t="inlineStr">
        <is>
          <t>CLP E-30 perde comunicação com o supervisório em intervalos irregulares.</t>
        </is>
      </c>
      <c r="D826" t="inlineStr">
        <is>
          <t>Adutora Tronco Sul</t>
        </is>
      </c>
      <c r="E826" t="inlineStr">
        <is>
          <t>Média</t>
        </is>
      </c>
      <c r="F826" t="inlineStr">
        <is>
          <t>Gabriel Matos</t>
        </is>
      </c>
      <c r="G826" t="inlineStr">
        <is>
          <t>Fechada</t>
        </is>
      </c>
      <c r="H826" s="5" t="n">
        <v>45910.68263888889</v>
      </c>
    </row>
    <row r="827">
      <c r="A827" t="inlineStr">
        <is>
          <t>OS-2325</t>
        </is>
      </c>
      <c r="B827" t="inlineStr">
        <is>
          <t>Bomba dosadora M-03 sem recalque</t>
        </is>
      </c>
      <c r="C827" t="inlineStr">
        <is>
          <t>Bomba dosadora M-03 liga mas não dosa. Mangueira sem obstrução aparente.</t>
        </is>
      </c>
      <c r="D827" t="inlineStr">
        <is>
          <t>Subestação Oeste</t>
        </is>
      </c>
      <c r="E827" t="inlineStr">
        <is>
          <t>Alta</t>
        </is>
      </c>
      <c r="F827" t="inlineStr">
        <is>
          <t>Larissa Bezerra</t>
        </is>
      </c>
      <c r="G827" t="inlineStr">
        <is>
          <t>Fechada</t>
        </is>
      </c>
      <c r="H827" s="5" t="n">
        <v>45910.99722222222</v>
      </c>
    </row>
    <row r="828">
      <c r="A828" t="inlineStr">
        <is>
          <t>OS-2326</t>
        </is>
      </c>
      <c r="B828" t="inlineStr">
        <is>
          <t>Infiltração na parede da casa de bombas M-04</t>
        </is>
      </c>
      <c r="C828" t="inlineStr">
        <is>
          <t>Mancha de umidade crescente na parede da casa de bombas M-04.</t>
        </is>
      </c>
      <c r="D828" t="inlineStr">
        <is>
          <t>Base Operacional Sul</t>
        </is>
      </c>
      <c r="E828" t="inlineStr">
        <is>
          <t>Alta</t>
        </is>
      </c>
      <c r="F828" t="inlineStr">
        <is>
          <t>Cíntia Freitas</t>
        </is>
      </c>
      <c r="G828" t="inlineStr">
        <is>
          <t>Fechada</t>
        </is>
      </c>
      <c r="H828" s="5" t="n">
        <v>45911.29722222222</v>
      </c>
    </row>
    <row r="829">
      <c r="A829" t="inlineStr">
        <is>
          <t>OS-2327</t>
        </is>
      </c>
      <c r="B829" t="inlineStr">
        <is>
          <t>Correia do ventilador C-26 desgastada</t>
        </is>
      </c>
      <c r="C829" t="inlineStr">
        <is>
          <t>Correia do ventilador C-26 com trincas visíveis e folga excessiva.</t>
        </is>
      </c>
      <c r="D829" t="inlineStr">
        <is>
          <t>Adutora Tronco Sul</t>
        </is>
      </c>
      <c r="E829" t="inlineStr">
        <is>
          <t>Baixa</t>
        </is>
      </c>
      <c r="F829" t="inlineStr">
        <is>
          <t>Murilo Paiva</t>
        </is>
      </c>
      <c r="G829" t="inlineStr">
        <is>
          <t>Fechada</t>
        </is>
      </c>
      <c r="H829" s="5" t="n">
        <v>45911.63819444444</v>
      </c>
    </row>
    <row r="830">
      <c r="A830" t="inlineStr">
        <is>
          <t>OS-2328</t>
        </is>
      </c>
      <c r="B830" t="inlineStr">
        <is>
          <t>Correia do ventilador F-14 desgastada</t>
        </is>
      </c>
      <c r="C830" t="inlineStr">
        <is>
          <t>Correia do ventilador F-14 com trincas visíveis e folga excessiva.</t>
        </is>
      </c>
      <c r="D830" t="inlineStr">
        <is>
          <t>Pátio de Veículos</t>
        </is>
      </c>
      <c r="E830" t="inlineStr">
        <is>
          <t>Baixa</t>
        </is>
      </c>
      <c r="F830" t="inlineStr">
        <is>
          <t>Gabriel Matos</t>
        </is>
      </c>
      <c r="G830" t="inlineStr">
        <is>
          <t>Fechada</t>
        </is>
      </c>
      <c r="H830" s="5" t="n">
        <v>45911.91805555556</v>
      </c>
    </row>
    <row r="831">
      <c r="A831" t="inlineStr">
        <is>
          <t>OS-2329</t>
        </is>
      </c>
      <c r="B831" t="inlineStr">
        <is>
          <t>Falha de comunicação no CLP F-30</t>
        </is>
      </c>
      <c r="C831" t="inlineStr">
        <is>
          <t>CLP F-30 perde comunicação com o supervisório em intervalos irregulares.</t>
        </is>
      </c>
      <c r="D831" t="inlineStr">
        <is>
          <t>Base Operacional Norte</t>
        </is>
      </c>
      <c r="E831" t="inlineStr">
        <is>
          <t>Alta</t>
        </is>
      </c>
      <c r="F831" t="inlineStr">
        <is>
          <t>Kleber Antunes</t>
        </is>
      </c>
      <c r="G831" t="inlineStr">
        <is>
          <t>Fechada</t>
        </is>
      </c>
      <c r="H831" s="5" t="n">
        <v>45912.22152777778</v>
      </c>
    </row>
    <row r="832">
      <c r="A832" t="inlineStr">
        <is>
          <t>OS-2330</t>
        </is>
      </c>
      <c r="B832" t="inlineStr">
        <is>
          <t>Calha entupida no prédio A-27</t>
        </is>
      </c>
      <c r="C832" t="inlineStr">
        <is>
          <t>Calha do prédio A-27 transbordando em dia de chuva.</t>
        </is>
      </c>
      <c r="D832" t="inlineStr">
        <is>
          <t>Subestação Centro</t>
        </is>
      </c>
      <c r="E832" t="inlineStr">
        <is>
          <t>Baixa</t>
        </is>
      </c>
      <c r="F832" t="inlineStr">
        <is>
          <t>Vagner Pacheco</t>
        </is>
      </c>
      <c r="G832" t="inlineStr">
        <is>
          <t>Fechada</t>
        </is>
      </c>
      <c r="H832" s="5" t="n">
        <v>45912.54444444444</v>
      </c>
    </row>
    <row r="833">
      <c r="A833" t="inlineStr">
        <is>
          <t>OS-2331</t>
        </is>
      </c>
      <c r="B833" t="inlineStr">
        <is>
          <t>Falha de comunicação no CLP T-14</t>
        </is>
      </c>
      <c r="C833" t="inlineStr">
        <is>
          <t>CLP T-14 perde comunicação com o supervisório em intervalos irregulares.</t>
        </is>
      </c>
      <c r="D833" t="inlineStr">
        <is>
          <t>ETA Serra Azul</t>
        </is>
      </c>
      <c r="E833" t="inlineStr">
        <is>
          <t>Baixa</t>
        </is>
      </c>
      <c r="F833" t="inlineStr">
        <is>
          <t>Ingrid Queiroz</t>
        </is>
      </c>
      <c r="G833" t="inlineStr">
        <is>
          <t>Fechada</t>
        </is>
      </c>
      <c r="H833" s="5" t="n">
        <v>45912.83472222222</v>
      </c>
    </row>
    <row r="834">
      <c r="A834" t="inlineStr">
        <is>
          <t>OS-2332</t>
        </is>
      </c>
      <c r="B834" t="inlineStr">
        <is>
          <t>Sensor de nível sem leitura no tanque G-30</t>
        </is>
      </c>
      <c r="C834" t="inlineStr">
        <is>
          <t>Supervisório mostra leitura congelada do sensor de nível do tanque G-30.</t>
        </is>
      </c>
      <c r="D834" t="inlineStr">
        <is>
          <t>Reservatório Santa Luzia</t>
        </is>
      </c>
      <c r="E834" t="inlineStr">
        <is>
          <t>Média</t>
        </is>
      </c>
      <c r="F834" t="inlineStr">
        <is>
          <t>Hugo Albuquerque</t>
        </is>
      </c>
      <c r="G834" t="inlineStr">
        <is>
          <t>Fechada</t>
        </is>
      </c>
      <c r="H834" s="5" t="n">
        <v>45913.13680555556</v>
      </c>
    </row>
    <row r="835">
      <c r="A835" t="inlineStr">
        <is>
          <t>OS-2333</t>
        </is>
      </c>
      <c r="B835" t="inlineStr">
        <is>
          <t>Disjuntor desarmando no painel C-19</t>
        </is>
      </c>
      <c r="C835" t="inlineStr">
        <is>
          <t>Disjuntor do painel C-19 desarmou três vezes no turno. Carga dentro do nominal.</t>
        </is>
      </c>
      <c r="D835" t="inlineStr">
        <is>
          <t>Subestação Oeste</t>
        </is>
      </c>
      <c r="E835" t="inlineStr">
        <is>
          <t>Baixa</t>
        </is>
      </c>
      <c r="F835" t="inlineStr">
        <is>
          <t>Murilo Paiva</t>
        </is>
      </c>
      <c r="G835" t="inlineStr">
        <is>
          <t>Fechada</t>
        </is>
      </c>
      <c r="H835" s="5" t="n">
        <v>45913.44930555556</v>
      </c>
    </row>
    <row r="836">
      <c r="A836" t="inlineStr">
        <is>
          <t>OS-2334</t>
        </is>
      </c>
      <c r="B836" t="inlineStr">
        <is>
          <t>Bomba dosadora C-04 sem recalque</t>
        </is>
      </c>
      <c r="C836" t="inlineStr">
        <is>
          <t>Bomba dosadora C-04 liga mas não dosa. Mangueira sem obstrução aparente.</t>
        </is>
      </c>
      <c r="D836" t="inlineStr">
        <is>
          <t>Estação de Bombeamento Três Pontes</t>
        </is>
      </c>
      <c r="E836" t="inlineStr">
        <is>
          <t>Crítica</t>
        </is>
      </c>
      <c r="F836" t="inlineStr">
        <is>
          <t>Úrsula Maia</t>
        </is>
      </c>
      <c r="G836" t="inlineStr">
        <is>
          <t>Fechada</t>
        </is>
      </c>
      <c r="H836" s="5" t="n">
        <v>45913.7375</v>
      </c>
    </row>
    <row r="837">
      <c r="A837" t="inlineStr">
        <is>
          <t>OS-2335</t>
        </is>
      </c>
      <c r="B837" t="inlineStr">
        <is>
          <t>Disjuntor desarmando no painel T-35</t>
        </is>
      </c>
      <c r="C837" t="inlineStr">
        <is>
          <t>Disjuntor do painel T-35 desarmou três vezes no turno. Carga dentro do nominal.</t>
        </is>
      </c>
      <c r="D837" t="inlineStr">
        <is>
          <t>Base Operacional Serra</t>
        </is>
      </c>
      <c r="E837" t="inlineStr">
        <is>
          <t>Crítica</t>
        </is>
      </c>
      <c r="F837" t="inlineStr">
        <is>
          <t>Zeca Moraes</t>
        </is>
      </c>
      <c r="G837" t="inlineStr">
        <is>
          <t>Fechada</t>
        </is>
      </c>
      <c r="H837" s="5" t="n">
        <v>45914.05972222222</v>
      </c>
    </row>
    <row r="838">
      <c r="A838" t="inlineStr">
        <is>
          <t>OS-2336</t>
        </is>
      </c>
      <c r="B838" t="inlineStr">
        <is>
          <t>Ar-condicionado da sala M-08 sem refrigerar</t>
        </is>
      </c>
      <c r="C838" t="inlineStr">
        <is>
          <t>Ar-condicionado da sala de painéis M-08 ligado sem refrigerar.</t>
        </is>
      </c>
      <c r="D838" t="inlineStr">
        <is>
          <t>Base Operacional Serra</t>
        </is>
      </c>
      <c r="E838" t="inlineStr">
        <is>
          <t>Baixa</t>
        </is>
      </c>
      <c r="F838" t="inlineStr">
        <is>
          <t>Wesley Cardoso</t>
        </is>
      </c>
      <c r="G838" t="inlineStr">
        <is>
          <t>Fechada</t>
        </is>
      </c>
      <c r="H838" s="5" t="n">
        <v>45914.37013888889</v>
      </c>
    </row>
    <row r="839">
      <c r="A839" t="inlineStr">
        <is>
          <t>OS-2337</t>
        </is>
      </c>
      <c r="B839" t="inlineStr">
        <is>
          <t>Troca de filtro do compressor H-32</t>
        </is>
      </c>
      <c r="C839" t="inlineStr">
        <is>
          <t>Filtro de ar do compressor H-32 saturado. Substituição preventiva.</t>
        </is>
      </c>
      <c r="D839" t="inlineStr">
        <is>
          <t>Base Operacional Sul</t>
        </is>
      </c>
      <c r="E839" t="inlineStr">
        <is>
          <t>Baixa</t>
        </is>
      </c>
      <c r="F839" t="inlineStr">
        <is>
          <t>Rafael Torres</t>
        </is>
      </c>
      <c r="G839" t="inlineStr">
        <is>
          <t>Fechada</t>
        </is>
      </c>
      <c r="H839" s="5" t="n">
        <v>45914.65763888889</v>
      </c>
    </row>
    <row r="840">
      <c r="A840" t="inlineStr">
        <is>
          <t>OS-2338</t>
        </is>
      </c>
      <c r="B840" t="inlineStr">
        <is>
          <t>Calha entupida no prédio D-10</t>
        </is>
      </c>
      <c r="C840" t="inlineStr">
        <is>
          <t>Calha do prédio D-10 transbordando em dia de chuva.</t>
        </is>
      </c>
      <c r="D840" t="inlineStr">
        <is>
          <t>Estação Elevatória Leste</t>
        </is>
      </c>
      <c r="E840" t="inlineStr">
        <is>
          <t>Alta</t>
        </is>
      </c>
      <c r="F840" t="inlineStr">
        <is>
          <t>Úrsula Maia</t>
        </is>
      </c>
      <c r="G840" t="inlineStr">
        <is>
          <t>Fechada</t>
        </is>
      </c>
      <c r="H840" s="5" t="n">
        <v>45914.95972222222</v>
      </c>
    </row>
    <row r="841">
      <c r="A841" t="inlineStr">
        <is>
          <t>OS-2339</t>
        </is>
      </c>
      <c r="B841" t="inlineStr">
        <is>
          <t>Bomba dosadora R-26 sem recalque</t>
        </is>
      </c>
      <c r="C841" t="inlineStr">
        <is>
          <t>Bomba dosadora R-26 liga mas não dosa. Mangueira sem obstrução aparente.</t>
        </is>
      </c>
      <c r="D841" t="inlineStr">
        <is>
          <t>Estação de Bombeamento Vila Nova</t>
        </is>
      </c>
      <c r="E841" t="inlineStr">
        <is>
          <t>Média</t>
        </is>
      </c>
      <c r="F841" t="inlineStr">
        <is>
          <t>Thiago Bastos</t>
        </is>
      </c>
      <c r="G841" t="inlineStr">
        <is>
          <t>Fechada</t>
        </is>
      </c>
      <c r="H841" s="5" t="n">
        <v>45915.25833333333</v>
      </c>
    </row>
    <row r="842">
      <c r="A842" t="inlineStr">
        <is>
          <t>OS-2340</t>
        </is>
      </c>
      <c r="B842" t="inlineStr">
        <is>
          <t>Infiltração na parede da casa de bombas F-09</t>
        </is>
      </c>
      <c r="C842" t="inlineStr">
        <is>
          <t>Mancha de umidade crescente na parede da casa de bombas F-09.</t>
        </is>
      </c>
      <c r="D842" t="inlineStr">
        <is>
          <t>Booster Parque das Águas</t>
        </is>
      </c>
      <c r="E842" t="inlineStr">
        <is>
          <t>Média</t>
        </is>
      </c>
      <c r="F842" t="inlineStr">
        <is>
          <t>Érica Andrade</t>
        </is>
      </c>
      <c r="G842" t="inlineStr">
        <is>
          <t>Fechada</t>
        </is>
      </c>
      <c r="H842" s="5" t="n">
        <v>45915.56736111111</v>
      </c>
    </row>
    <row r="843">
      <c r="A843" t="inlineStr">
        <is>
          <t>OS-2341</t>
        </is>
      </c>
      <c r="B843" t="inlineStr">
        <is>
          <t>Ar-condicionado da sala E-05 sem refrigerar</t>
        </is>
      </c>
      <c r="C843" t="inlineStr">
        <is>
          <t>Ar-condicionado da sala de painéis E-05 ligado sem refrigerar.</t>
        </is>
      </c>
      <c r="D843" t="inlineStr">
        <is>
          <t>Subestação Sul</t>
        </is>
      </c>
      <c r="E843" t="inlineStr">
        <is>
          <t>Média</t>
        </is>
      </c>
      <c r="F843" t="inlineStr">
        <is>
          <t>Hugo Albuquerque</t>
        </is>
      </c>
      <c r="G843" t="inlineStr">
        <is>
          <t>Fechada</t>
        </is>
      </c>
      <c r="H843" s="5" t="n">
        <v>45915.89722222222</v>
      </c>
    </row>
    <row r="844">
      <c r="A844" t="inlineStr">
        <is>
          <t>OS-2342</t>
        </is>
      </c>
      <c r="B844" t="inlineStr">
        <is>
          <t>Pintura descascada na estrutura F-06</t>
        </is>
      </c>
      <c r="C844" t="inlineStr">
        <is>
          <t>Estrutura metálica F-06 com pontos de corrosão sob a pintura.</t>
        </is>
      </c>
      <c r="D844" t="inlineStr">
        <is>
          <t>Subestação Norte</t>
        </is>
      </c>
      <c r="E844" t="inlineStr">
        <is>
          <t>Baixa</t>
        </is>
      </c>
      <c r="F844" t="inlineStr">
        <is>
          <t>Flávio Gusmão</t>
        </is>
      </c>
      <c r="G844" t="inlineStr">
        <is>
          <t>Fechada</t>
        </is>
      </c>
      <c r="H844" s="5" t="n">
        <v>45916.18055555555</v>
      </c>
    </row>
    <row r="845">
      <c r="A845" t="inlineStr">
        <is>
          <t>OS-2343</t>
        </is>
      </c>
      <c r="B845" t="inlineStr">
        <is>
          <t>Ar-condicionado da sala T-18 sem refrigerar</t>
        </is>
      </c>
      <c r="C845" t="inlineStr">
        <is>
          <t>Ar-condicionado da sala de painéis T-18 ligado sem refrigerar.</t>
        </is>
      </c>
      <c r="D845" t="inlineStr">
        <is>
          <t>Captação Lagoa Seca</t>
        </is>
      </c>
      <c r="E845" t="inlineStr">
        <is>
          <t>Média</t>
        </is>
      </c>
      <c r="F845" t="inlineStr">
        <is>
          <t>Aline Rocha</t>
        </is>
      </c>
      <c r="G845" t="inlineStr">
        <is>
          <t>Fechada</t>
        </is>
      </c>
      <c r="H845" s="5" t="n">
        <v>45916.49930555555</v>
      </c>
    </row>
    <row r="846">
      <c r="A846" t="inlineStr">
        <is>
          <t>OS-2344</t>
        </is>
      </c>
      <c r="B846" t="inlineStr">
        <is>
          <t>Sensor de nível sem leitura no tanque H-26</t>
        </is>
      </c>
      <c r="C846" t="inlineStr">
        <is>
          <t>Supervisório mostra leitura congelada do sensor de nível do tanque H-26.</t>
        </is>
      </c>
      <c r="D846" t="inlineStr">
        <is>
          <t>Captação Lagoa Seca</t>
        </is>
      </c>
      <c r="E846" t="inlineStr">
        <is>
          <t>Alta</t>
        </is>
      </c>
      <c r="F846" t="inlineStr">
        <is>
          <t>Glória Sampaio</t>
        </is>
      </c>
      <c r="G846" t="inlineStr">
        <is>
          <t>Fechada</t>
        </is>
      </c>
      <c r="H846" s="5" t="n">
        <v>45916.78958333333</v>
      </c>
    </row>
    <row r="847">
      <c r="A847" t="inlineStr">
        <is>
          <t>OS-2345</t>
        </is>
      </c>
      <c r="B847" t="inlineStr">
        <is>
          <t>Pintura descascada na estrutura A-33</t>
        </is>
      </c>
      <c r="C847" t="inlineStr">
        <is>
          <t>Estrutura metálica A-33 com pontos de corrosão sob a pintura.</t>
        </is>
      </c>
      <c r="D847" t="inlineStr">
        <is>
          <t>Almoxarifado Central</t>
        </is>
      </c>
      <c r="E847" t="inlineStr">
        <is>
          <t>Média</t>
        </is>
      </c>
      <c r="F847" t="inlineStr">
        <is>
          <t>Lívia Montenegro</t>
        </is>
      </c>
      <c r="G847" t="inlineStr">
        <is>
          <t>Fechada</t>
        </is>
      </c>
      <c r="H847" s="5" t="n">
        <v>45917.10555555556</v>
      </c>
    </row>
    <row r="848">
      <c r="A848" t="inlineStr">
        <is>
          <t>OS-2346</t>
        </is>
      </c>
      <c r="B848" t="inlineStr">
        <is>
          <t>Troca de filtro do compressor F-37</t>
        </is>
      </c>
      <c r="C848" t="inlineStr">
        <is>
          <t>Filtro de ar do compressor F-37 saturado. Substituição preventiva.</t>
        </is>
      </c>
      <c r="D848" t="inlineStr">
        <is>
          <t>Captação Lagoa Seca</t>
        </is>
      </c>
      <c r="E848" t="inlineStr">
        <is>
          <t>Alta</t>
        </is>
      </c>
      <c r="F848" t="inlineStr">
        <is>
          <t>Danilo Peixoto</t>
        </is>
      </c>
      <c r="G848" t="inlineStr">
        <is>
          <t>Fechada</t>
        </is>
      </c>
      <c r="H848" s="5" t="n">
        <v>45917.42986111111</v>
      </c>
    </row>
    <row r="849">
      <c r="A849" t="inlineStr">
        <is>
          <t>OS-2347</t>
        </is>
      </c>
      <c r="B849" t="inlineStr">
        <is>
          <t>Disjuntor desarmando no painel D-35</t>
        </is>
      </c>
      <c r="C849" t="inlineStr">
        <is>
          <t>Disjuntor do painel D-35 desarmou três vezes no turno. Carga dentro do nominal.</t>
        </is>
      </c>
      <c r="D849" t="inlineStr">
        <is>
          <t>Reservatório Alto da Colina</t>
        </is>
      </c>
      <c r="E849" t="inlineStr">
        <is>
          <t>Média</t>
        </is>
      </c>
      <c r="F849" t="inlineStr">
        <is>
          <t>Daniela Pires</t>
        </is>
      </c>
      <c r="G849" t="inlineStr">
        <is>
          <t>Fechada</t>
        </is>
      </c>
      <c r="H849" s="5" t="n">
        <v>45917.72430555556</v>
      </c>
    </row>
    <row r="850">
      <c r="A850" t="inlineStr">
        <is>
          <t>OS-2348</t>
        </is>
      </c>
      <c r="B850" t="inlineStr">
        <is>
          <t>Medidor de vazão H-40 com leitura instável</t>
        </is>
      </c>
      <c r="C850" t="inlineStr">
        <is>
          <t>Medidor de vazão H-40 oscila sem variação de processo.</t>
        </is>
      </c>
      <c r="D850" t="inlineStr">
        <is>
          <t>Base Operacional Serra</t>
        </is>
      </c>
      <c r="E850" t="inlineStr">
        <is>
          <t>Baixa</t>
        </is>
      </c>
      <c r="F850" t="inlineStr">
        <is>
          <t>Jonas Teles</t>
        </is>
      </c>
      <c r="G850" t="inlineStr">
        <is>
          <t>Fechada</t>
        </is>
      </c>
      <c r="H850" s="5" t="n">
        <v>45918.04375</v>
      </c>
    </row>
    <row r="851">
      <c r="A851" t="inlineStr">
        <is>
          <t>OS-2349</t>
        </is>
      </c>
      <c r="B851" t="inlineStr">
        <is>
          <t>Vazamento de óleo no redutor E-27</t>
        </is>
      </c>
      <c r="C851" t="inlineStr">
        <is>
          <t>Gotejamento de óleo no redutor E-27. Nível ainda dentro da faixa.</t>
        </is>
      </c>
      <c r="D851" t="inlineStr">
        <is>
          <t>Centro de Operações</t>
        </is>
      </c>
      <c r="E851" t="inlineStr">
        <is>
          <t>Média</t>
        </is>
      </c>
      <c r="F851" t="inlineStr">
        <is>
          <t>Daniela Pires</t>
        </is>
      </c>
      <c r="G851" t="inlineStr">
        <is>
          <t>Fechada</t>
        </is>
      </c>
      <c r="H851" s="5" t="n">
        <v>45918.34930555556</v>
      </c>
    </row>
    <row r="852">
      <c r="A852" t="inlineStr">
        <is>
          <t>OS-2350</t>
        </is>
      </c>
      <c r="B852" t="inlineStr">
        <is>
          <t>Medidor de vazão T-39 com leitura instável</t>
        </is>
      </c>
      <c r="C852" t="inlineStr">
        <is>
          <t>Medidor de vazão T-39 oscila sem variação de processo.</t>
        </is>
      </c>
      <c r="D852" t="inlineStr">
        <is>
          <t>Torre de Telecomunicação Morro Alto</t>
        </is>
      </c>
      <c r="E852" t="inlineStr">
        <is>
          <t>Média</t>
        </is>
      </c>
      <c r="F852" t="inlineStr">
        <is>
          <t>Rafael Torres</t>
        </is>
      </c>
      <c r="G852" t="inlineStr">
        <is>
          <t>Fechada</t>
        </is>
      </c>
      <c r="H852" s="5" t="n">
        <v>45918.62083333333</v>
      </c>
    </row>
    <row r="853">
      <c r="A853" t="inlineStr">
        <is>
          <t>OS-2351</t>
        </is>
      </c>
      <c r="B853" t="inlineStr">
        <is>
          <t>Portão da área T-02 emperrado</t>
        </is>
      </c>
      <c r="C853" t="inlineStr">
        <is>
          <t>Portão de acesso da área T-02 exige força excessiva para abrir.</t>
        </is>
      </c>
      <c r="D853" t="inlineStr">
        <is>
          <t>Captação Lagoa Seca</t>
        </is>
      </c>
      <c r="E853" t="inlineStr">
        <is>
          <t>Média</t>
        </is>
      </c>
      <c r="F853" t="inlineStr">
        <is>
          <t>Marcos Vinícius Rocha</t>
        </is>
      </c>
      <c r="G853" t="inlineStr">
        <is>
          <t>Fechada</t>
        </is>
      </c>
      <c r="H853" s="5" t="n">
        <v>45918.94791666666</v>
      </c>
    </row>
    <row r="854">
      <c r="A854" t="inlineStr">
        <is>
          <t>OS-2352</t>
        </is>
      </c>
      <c r="B854" t="inlineStr">
        <is>
          <t>Infiltração na parede da casa de bombas G-09</t>
        </is>
      </c>
      <c r="C854" t="inlineStr">
        <is>
          <t>Mancha de umidade crescente na parede da casa de bombas G-09.</t>
        </is>
      </c>
      <c r="D854" t="inlineStr">
        <is>
          <t>Pátio de Veículos</t>
        </is>
      </c>
      <c r="E854" t="inlineStr">
        <is>
          <t>Média</t>
        </is>
      </c>
      <c r="F854" t="inlineStr">
        <is>
          <t>Vagner Pacheco</t>
        </is>
      </c>
      <c r="G854" t="inlineStr">
        <is>
          <t>Fechada</t>
        </is>
      </c>
      <c r="H854" s="5" t="n">
        <v>45919.22708333333</v>
      </c>
    </row>
    <row r="855">
      <c r="A855" t="inlineStr">
        <is>
          <t>OS-2353</t>
        </is>
      </c>
      <c r="B855" t="inlineStr">
        <is>
          <t>Medidor de vazão E-11 com leitura instável</t>
        </is>
      </c>
      <c r="C855" t="inlineStr">
        <is>
          <t>Medidor de vazão E-11 oscila sem variação de processo.</t>
        </is>
      </c>
      <c r="D855" t="inlineStr">
        <is>
          <t>Galpão de Materiais</t>
        </is>
      </c>
      <c r="E855" t="inlineStr">
        <is>
          <t>Baixa</t>
        </is>
      </c>
      <c r="F855" t="inlineStr">
        <is>
          <t>Aline Rocha</t>
        </is>
      </c>
      <c r="G855" t="inlineStr">
        <is>
          <t>Fechada</t>
        </is>
      </c>
      <c r="H855" s="5" t="n">
        <v>45919.52847222222</v>
      </c>
    </row>
    <row r="856">
      <c r="A856" t="inlineStr">
        <is>
          <t>OS-2354</t>
        </is>
      </c>
      <c r="B856" t="inlineStr">
        <is>
          <t>Aquecimento no mancal do motor P-20</t>
        </is>
      </c>
      <c r="C856" t="inlineStr">
        <is>
          <t>Mancal do motor P-20 acima da temperatura usual na medição com termômetro infravermelho.</t>
        </is>
      </c>
      <c r="D856" t="inlineStr">
        <is>
          <t>Galpão de Materiais</t>
        </is>
      </c>
      <c r="E856" t="inlineStr">
        <is>
          <t>Baixa</t>
        </is>
      </c>
      <c r="F856" t="inlineStr">
        <is>
          <t>Lívia Montenegro</t>
        </is>
      </c>
      <c r="G856" t="inlineStr">
        <is>
          <t>Fechada</t>
        </is>
      </c>
      <c r="H856" s="5" t="n">
        <v>45919.85138888889</v>
      </c>
    </row>
    <row r="857">
      <c r="A857" t="inlineStr">
        <is>
          <t>OS-2355</t>
        </is>
      </c>
      <c r="B857" t="inlineStr">
        <is>
          <t>Falha de comunicação no CLP C-16</t>
        </is>
      </c>
      <c r="C857" t="inlineStr">
        <is>
          <t>CLP C-16 perde comunicação com o supervisório em intervalos irregulares.</t>
        </is>
      </c>
      <c r="D857" t="inlineStr">
        <is>
          <t>Base Operacional Serra</t>
        </is>
      </c>
      <c r="E857" t="inlineStr">
        <is>
          <t>Alta</t>
        </is>
      </c>
      <c r="F857" t="inlineStr">
        <is>
          <t>Eduardo Salles</t>
        </is>
      </c>
      <c r="G857" t="inlineStr">
        <is>
          <t>Fechada</t>
        </is>
      </c>
      <c r="H857" s="5" t="n">
        <v>45920.16111111111</v>
      </c>
    </row>
    <row r="858">
      <c r="A858" t="inlineStr">
        <is>
          <t>OS-2356</t>
        </is>
      </c>
      <c r="B858" t="inlineStr">
        <is>
          <t>Pintura descascada na estrutura H-39</t>
        </is>
      </c>
      <c r="C858" t="inlineStr">
        <is>
          <t>Estrutura metálica H-39 com pontos de corrosão sob a pintura.</t>
        </is>
      </c>
      <c r="D858" t="inlineStr">
        <is>
          <t>ETE Jardim Bela Vista</t>
        </is>
      </c>
      <c r="E858" t="inlineStr">
        <is>
          <t>Alta</t>
        </is>
      </c>
      <c r="F858" t="inlineStr">
        <is>
          <t>Juliana Aguiar</t>
        </is>
      </c>
      <c r="G858" t="inlineStr">
        <is>
          <t>Fechada</t>
        </is>
      </c>
      <c r="H858" s="5" t="n">
        <v>45920.44375</v>
      </c>
    </row>
    <row r="859">
      <c r="A859" t="inlineStr">
        <is>
          <t>OS-2357</t>
        </is>
      </c>
      <c r="B859" t="inlineStr">
        <is>
          <t>Pintura descascada na estrutura R-11</t>
        </is>
      </c>
      <c r="C859" t="inlineStr">
        <is>
          <t>Estrutura metálica R-11 com pontos de corrosão sob a pintura.</t>
        </is>
      </c>
      <c r="D859" t="inlineStr">
        <is>
          <t>ETA Ribeirão Fundo</t>
        </is>
      </c>
      <c r="E859" t="inlineStr">
        <is>
          <t>Alta</t>
        </is>
      </c>
      <c r="F859" t="inlineStr">
        <is>
          <t>Marcos Vinícius Rocha</t>
        </is>
      </c>
      <c r="G859" t="inlineStr">
        <is>
          <t>Fechada</t>
        </is>
      </c>
      <c r="H859" s="5" t="n">
        <v>45920.78472222222</v>
      </c>
    </row>
    <row r="860">
      <c r="A860" t="inlineStr">
        <is>
          <t>OS-2358</t>
        </is>
      </c>
      <c r="B860" t="inlineStr">
        <is>
          <t>Bomba dosadora G-24 sem recalque</t>
        </is>
      </c>
      <c r="C860" t="inlineStr">
        <is>
          <t>Bomba dosadora G-24 liga mas não dosa. Mangueira sem obstrução aparente.</t>
        </is>
      </c>
      <c r="D860" t="inlineStr">
        <is>
          <t>ETE Rio Claro</t>
        </is>
      </c>
      <c r="E860" t="inlineStr">
        <is>
          <t>Média</t>
        </is>
      </c>
      <c r="F860" t="inlineStr">
        <is>
          <t>Juliana Aguiar</t>
        </is>
      </c>
      <c r="G860" t="inlineStr">
        <is>
          <t>Fechada</t>
        </is>
      </c>
      <c r="H860" s="5" t="n">
        <v>45921.07361111111</v>
      </c>
    </row>
    <row r="861">
      <c r="A861" t="inlineStr">
        <is>
          <t>OS-2359</t>
        </is>
      </c>
      <c r="B861" t="inlineStr">
        <is>
          <t>Falha de comunicação no CLP T-05</t>
        </is>
      </c>
      <c r="C861" t="inlineStr">
        <is>
          <t>CLP T-05 perde comunicação com o supervisório em intervalos irregulares.</t>
        </is>
      </c>
      <c r="D861" t="inlineStr">
        <is>
          <t>Adutora Tronco Norte</t>
        </is>
      </c>
      <c r="E861" t="inlineStr">
        <is>
          <t>Média</t>
        </is>
      </c>
      <c r="F861" t="inlineStr">
        <is>
          <t>Kleber Antunes</t>
        </is>
      </c>
      <c r="G861" t="inlineStr">
        <is>
          <t>Fechada</t>
        </is>
      </c>
      <c r="H861" s="5" t="n">
        <v>45921.38888888889</v>
      </c>
    </row>
    <row r="862">
      <c r="A862" t="inlineStr">
        <is>
          <t>OS-2360</t>
        </is>
      </c>
      <c r="B862" t="inlineStr">
        <is>
          <t>Bomba dosadora E-10 sem recalque</t>
        </is>
      </c>
      <c r="C862" t="inlineStr">
        <is>
          <t>Bomba dosadora E-10 liga mas não dosa. Mangueira sem obstrução aparente.</t>
        </is>
      </c>
      <c r="D862" t="inlineStr">
        <is>
          <t>Subestação Norte</t>
        </is>
      </c>
      <c r="E862" t="inlineStr">
        <is>
          <t>Baixa</t>
        </is>
      </c>
      <c r="F862" t="inlineStr">
        <is>
          <t>Danilo Peixoto</t>
        </is>
      </c>
      <c r="G862" t="inlineStr">
        <is>
          <t>Fechada</t>
        </is>
      </c>
      <c r="H862" s="5" t="n">
        <v>45921.69236111111</v>
      </c>
    </row>
    <row r="863">
      <c r="A863" t="inlineStr">
        <is>
          <t>OS-2361</t>
        </is>
      </c>
      <c r="B863" t="inlineStr">
        <is>
          <t>Troca de filtro do compressor V-03</t>
        </is>
      </c>
      <c r="C863" t="inlineStr">
        <is>
          <t>Filtro de ar do compressor V-03 saturado. Substituição preventiva.</t>
        </is>
      </c>
      <c r="D863" t="inlineStr">
        <is>
          <t>Reservatório Santa Luzia</t>
        </is>
      </c>
      <c r="E863" t="inlineStr">
        <is>
          <t>Média</t>
        </is>
      </c>
      <c r="F863" t="inlineStr">
        <is>
          <t>Heloísa Barreto</t>
        </is>
      </c>
      <c r="G863" t="inlineStr">
        <is>
          <t>Fechada</t>
        </is>
      </c>
      <c r="H863" s="5" t="n">
        <v>45921.98472222222</v>
      </c>
    </row>
    <row r="864">
      <c r="A864" t="inlineStr">
        <is>
          <t>OS-2362</t>
        </is>
      </c>
      <c r="B864" t="inlineStr">
        <is>
          <t>Vazamento de óleo no redutor D-27</t>
        </is>
      </c>
      <c r="C864" t="inlineStr">
        <is>
          <t>Gotejamento de óleo no redutor D-27. Nível ainda dentro da faixa.</t>
        </is>
      </c>
      <c r="D864" t="inlineStr">
        <is>
          <t>Estação de Bombeamento Vila Nova</t>
        </is>
      </c>
      <c r="E864" t="inlineStr">
        <is>
          <t>Baixa</t>
        </is>
      </c>
      <c r="F864" t="inlineStr">
        <is>
          <t>Gabriel Matos</t>
        </is>
      </c>
      <c r="G864" t="inlineStr">
        <is>
          <t>Fechada</t>
        </is>
      </c>
      <c r="H864" s="5" t="n">
        <v>45922.29027777778</v>
      </c>
    </row>
    <row r="865">
      <c r="A865" t="inlineStr">
        <is>
          <t>OS-2363</t>
        </is>
      </c>
      <c r="B865" t="inlineStr">
        <is>
          <t>Falha de comunicação no CLP T-30</t>
        </is>
      </c>
      <c r="C865" t="inlineStr">
        <is>
          <t>CLP T-30 perde comunicação com o supervisório em intervalos irregulares.</t>
        </is>
      </c>
      <c r="D865" t="inlineStr">
        <is>
          <t>Usina Fotovoltaica Planalto</t>
        </is>
      </c>
      <c r="E865" t="inlineStr">
        <is>
          <t>Alta</t>
        </is>
      </c>
      <c r="F865" t="inlineStr">
        <is>
          <t>Érica Andrade</t>
        </is>
      </c>
      <c r="G865" t="inlineStr">
        <is>
          <t>Fechada</t>
        </is>
      </c>
      <c r="H865" s="5" t="n">
        <v>45922.60833333333</v>
      </c>
    </row>
    <row r="866">
      <c r="A866" t="inlineStr">
        <is>
          <t>OS-2364</t>
        </is>
      </c>
      <c r="B866" t="inlineStr">
        <is>
          <t>Sensor de nível sem leitura no tanque A-31</t>
        </is>
      </c>
      <c r="C866" t="inlineStr">
        <is>
          <t>Supervisório mostra leitura congelada do sensor de nível do tanque A-31.</t>
        </is>
      </c>
      <c r="D866" t="inlineStr">
        <is>
          <t>Usina Fotovoltaica Cerrado</t>
        </is>
      </c>
      <c r="E866" t="inlineStr">
        <is>
          <t>Alta</t>
        </is>
      </c>
      <c r="F866" t="inlineStr">
        <is>
          <t>Rafael Torres</t>
        </is>
      </c>
      <c r="G866" t="inlineStr">
        <is>
          <t>Fechada</t>
        </is>
      </c>
      <c r="H866" s="5" t="n">
        <v>45922.92569444444</v>
      </c>
    </row>
    <row r="867">
      <c r="A867" t="inlineStr">
        <is>
          <t>OS-2365</t>
        </is>
      </c>
      <c r="B867" t="inlineStr">
        <is>
          <t>Correia do ventilador M-19 desgastada</t>
        </is>
      </c>
      <c r="C867" t="inlineStr">
        <is>
          <t>Correia do ventilador M-19 com trincas visíveis e folga excessiva.</t>
        </is>
      </c>
      <c r="D867" t="inlineStr">
        <is>
          <t>Reservatório Alto da Colina</t>
        </is>
      </c>
      <c r="E867" t="inlineStr">
        <is>
          <t>Média</t>
        </is>
      </c>
      <c r="F867" t="inlineStr">
        <is>
          <t>Priscila Guedes</t>
        </is>
      </c>
      <c r="G867" t="inlineStr">
        <is>
          <t>Fechada</t>
        </is>
      </c>
      <c r="H867" s="5" t="n">
        <v>45923.22916666666</v>
      </c>
    </row>
    <row r="868">
      <c r="A868" t="inlineStr">
        <is>
          <t>OS-2366</t>
        </is>
      </c>
      <c r="B868" t="inlineStr">
        <is>
          <t>Portão da área V-35 emperrado</t>
        </is>
      </c>
      <c r="C868" t="inlineStr">
        <is>
          <t>Portão de acesso da área V-35 exige força excessiva para abrir.</t>
        </is>
      </c>
      <c r="D868" t="inlineStr">
        <is>
          <t>Adutora Tronco Norte</t>
        </is>
      </c>
      <c r="E868" t="inlineStr">
        <is>
          <t>Alta</t>
        </is>
      </c>
      <c r="F868" t="inlineStr">
        <is>
          <t>Kleber Antunes</t>
        </is>
      </c>
      <c r="G868" t="inlineStr">
        <is>
          <t>Fechada</t>
        </is>
      </c>
      <c r="H868" s="5" t="n">
        <v>45923.49583333333</v>
      </c>
    </row>
    <row r="869">
      <c r="A869" t="inlineStr">
        <is>
          <t>OS-2367</t>
        </is>
      </c>
      <c r="B869" t="inlineStr">
        <is>
          <t>Lâmpada queimada na área A-23</t>
        </is>
      </c>
      <c r="C869" t="inlineStr">
        <is>
          <t>Iluminação da área A-23 sem funcionar. Reposição de lâmpada e conferência do reator.</t>
        </is>
      </c>
      <c r="D869" t="inlineStr">
        <is>
          <t>Torre de Telecomunicação Morro Alto</t>
        </is>
      </c>
      <c r="E869" t="inlineStr">
        <is>
          <t>Baixa</t>
        </is>
      </c>
      <c r="F869" t="inlineStr">
        <is>
          <t>Fernanda Quintela</t>
        </is>
      </c>
      <c r="G869" t="inlineStr">
        <is>
          <t>Fechada</t>
        </is>
      </c>
      <c r="H869" s="5" t="n">
        <v>45923.80902777778</v>
      </c>
    </row>
    <row r="870">
      <c r="A870" t="inlineStr">
        <is>
          <t>OS-2368</t>
        </is>
      </c>
      <c r="B870" t="inlineStr">
        <is>
          <t>Troca de filtro do compressor P-14</t>
        </is>
      </c>
      <c r="C870" t="inlineStr">
        <is>
          <t>Filtro de ar do compressor P-14 saturado. Substituição preventiva.</t>
        </is>
      </c>
      <c r="D870" t="inlineStr">
        <is>
          <t>Captação Lagoa Seca</t>
        </is>
      </c>
      <c r="E870" t="inlineStr">
        <is>
          <t>Alta</t>
        </is>
      </c>
      <c r="F870" t="inlineStr">
        <is>
          <t>Heloísa Barreto</t>
        </is>
      </c>
      <c r="G870" t="inlineStr">
        <is>
          <t>Fechada</t>
        </is>
      </c>
      <c r="H870" s="5" t="n">
        <v>45924.12638888889</v>
      </c>
    </row>
    <row r="871">
      <c r="A871" t="inlineStr">
        <is>
          <t>OS-2369</t>
        </is>
      </c>
      <c r="B871" t="inlineStr">
        <is>
          <t>Portão da área M-32 emperrado</t>
        </is>
      </c>
      <c r="C871" t="inlineStr">
        <is>
          <t>Portão de acesso da área M-32 exige força excessiva para abrir.</t>
        </is>
      </c>
      <c r="D871" t="inlineStr">
        <is>
          <t>Oficina Elétrica Central</t>
        </is>
      </c>
      <c r="E871" t="inlineStr">
        <is>
          <t>Alta</t>
        </is>
      </c>
      <c r="F871" t="inlineStr">
        <is>
          <t>Caio Rangel</t>
        </is>
      </c>
      <c r="G871" t="inlineStr">
        <is>
          <t>Fechada</t>
        </is>
      </c>
      <c r="H871" s="5" t="n">
        <v>45924.41875</v>
      </c>
    </row>
    <row r="872">
      <c r="A872" t="inlineStr">
        <is>
          <t>OS-2370</t>
        </is>
      </c>
      <c r="B872" t="inlineStr">
        <is>
          <t>Lâmpada queimada na área R-20</t>
        </is>
      </c>
      <c r="C872" t="inlineStr">
        <is>
          <t>Iluminação da área R-20 sem funcionar. Reposição de lâmpada e conferência do reator.</t>
        </is>
      </c>
      <c r="D872" t="inlineStr">
        <is>
          <t>Laboratório de Controle</t>
        </is>
      </c>
      <c r="E872" t="inlineStr">
        <is>
          <t>Média</t>
        </is>
      </c>
      <c r="F872" t="inlineStr">
        <is>
          <t>Wesley Cardoso</t>
        </is>
      </c>
      <c r="G872" t="inlineStr">
        <is>
          <t>Fechada</t>
        </is>
      </c>
      <c r="H872" s="5" t="n">
        <v>45924.74583333333</v>
      </c>
    </row>
    <row r="873">
      <c r="A873" t="inlineStr">
        <is>
          <t>OS-2371</t>
        </is>
      </c>
      <c r="B873" t="inlineStr">
        <is>
          <t>Ruído anormal no motor V-29</t>
        </is>
      </c>
      <c r="C873" t="inlineStr">
        <is>
          <t>Ruído intermitente no motor V-29 durante a partida. Temperatura normal ao toque.</t>
        </is>
      </c>
      <c r="D873" t="inlineStr">
        <is>
          <t>Subestação Oeste</t>
        </is>
      </c>
      <c r="E873" t="inlineStr">
        <is>
          <t>Alta</t>
        </is>
      </c>
      <c r="F873" t="inlineStr">
        <is>
          <t>Daniela Pires</t>
        </is>
      </c>
      <c r="G873" t="inlineStr">
        <is>
          <t>Fechada</t>
        </is>
      </c>
      <c r="H873" s="5" t="n">
        <v>45925.05625</v>
      </c>
    </row>
    <row r="874">
      <c r="A874" t="inlineStr">
        <is>
          <t>OS-2372</t>
        </is>
      </c>
      <c r="B874" t="inlineStr">
        <is>
          <t>Aquecimento no mancal do motor R-32</t>
        </is>
      </c>
      <c r="C874" t="inlineStr">
        <is>
          <t>Mancal do motor R-32 acima da temperatura usual na medição com termômetro infravermelho.</t>
        </is>
      </c>
      <c r="D874" t="inlineStr">
        <is>
          <t>Estação Elevatória Porto</t>
        </is>
      </c>
      <c r="E874" t="inlineStr">
        <is>
          <t>Alta</t>
        </is>
      </c>
      <c r="F874" t="inlineStr">
        <is>
          <t>Danilo Peixoto</t>
        </is>
      </c>
      <c r="G874" t="inlineStr">
        <is>
          <t>Fechada</t>
        </is>
      </c>
      <c r="H874" s="5" t="n">
        <v>45925.36180555556</v>
      </c>
    </row>
    <row r="875">
      <c r="A875" t="inlineStr">
        <is>
          <t>OS-2373</t>
        </is>
      </c>
      <c r="B875" t="inlineStr">
        <is>
          <t>Ar-condicionado da sala D-39 sem refrigerar</t>
        </is>
      </c>
      <c r="C875" t="inlineStr">
        <is>
          <t>Ar-condicionado da sala de painéis D-39 ligado sem refrigerar.</t>
        </is>
      </c>
      <c r="D875" t="inlineStr">
        <is>
          <t>Oficina Mecânica Central</t>
        </is>
      </c>
      <c r="E875" t="inlineStr">
        <is>
          <t>Média</t>
        </is>
      </c>
      <c r="F875" t="inlineStr">
        <is>
          <t>Beatriz Farias</t>
        </is>
      </c>
      <c r="G875" t="inlineStr">
        <is>
          <t>Fechada</t>
        </is>
      </c>
      <c r="H875" s="5" t="n">
        <v>45925.67152777778</v>
      </c>
    </row>
    <row r="876">
      <c r="A876" t="inlineStr">
        <is>
          <t>OS-2374</t>
        </is>
      </c>
      <c r="B876" t="inlineStr">
        <is>
          <t>Calha entupida no prédio M-12</t>
        </is>
      </c>
      <c r="C876" t="inlineStr">
        <is>
          <t>Calha do prédio M-12 transbordando em dia de chuva.</t>
        </is>
      </c>
      <c r="D876" t="inlineStr">
        <is>
          <t>Subestação Centro</t>
        </is>
      </c>
      <c r="E876" t="inlineStr">
        <is>
          <t>Crítica</t>
        </is>
      </c>
      <c r="F876" t="inlineStr">
        <is>
          <t>Fernanda Quintela</t>
        </is>
      </c>
      <c r="G876" t="inlineStr">
        <is>
          <t>Fechada</t>
        </is>
      </c>
      <c r="H876" s="5" t="n">
        <v>45925.97013888889</v>
      </c>
    </row>
    <row r="877">
      <c r="A877" t="inlineStr">
        <is>
          <t>OS-2375</t>
        </is>
      </c>
      <c r="B877" t="inlineStr">
        <is>
          <t>Tomada sem energia na sala R-37</t>
        </is>
      </c>
      <c r="C877" t="inlineStr">
        <is>
          <t>Tomada de serviço da sala R-37 sem tensão.</t>
        </is>
      </c>
      <c r="D877" t="inlineStr">
        <is>
          <t>Almoxarifado Central</t>
        </is>
      </c>
      <c r="E877" t="inlineStr">
        <is>
          <t>Média</t>
        </is>
      </c>
      <c r="F877" t="inlineStr">
        <is>
          <t>Otávio Lacerda</t>
        </is>
      </c>
      <c r="G877" t="inlineStr">
        <is>
          <t>Fechada</t>
        </is>
      </c>
      <c r="H877" s="5" t="n">
        <v>45926.27152777778</v>
      </c>
    </row>
    <row r="878">
      <c r="A878" t="inlineStr">
        <is>
          <t>OS-2376</t>
        </is>
      </c>
      <c r="B878" t="inlineStr">
        <is>
          <t>Medidor de vazão T-12 com leitura instável</t>
        </is>
      </c>
      <c r="C878" t="inlineStr">
        <is>
          <t>Medidor de vazão T-12 oscila sem variação de processo.</t>
        </is>
      </c>
      <c r="D878" t="inlineStr">
        <is>
          <t>ETA Ribeirão Fundo</t>
        </is>
      </c>
      <c r="E878" t="inlineStr">
        <is>
          <t>Baixa</t>
        </is>
      </c>
      <c r="F878" t="inlineStr">
        <is>
          <t>Priscila Guedes</t>
        </is>
      </c>
      <c r="G878" t="inlineStr">
        <is>
          <t>Fechada</t>
        </is>
      </c>
      <c r="H878" s="5" t="n">
        <v>45926.55972222222</v>
      </c>
    </row>
    <row r="879">
      <c r="A879" t="inlineStr">
        <is>
          <t>OS-2377</t>
        </is>
      </c>
      <c r="B879" t="inlineStr">
        <is>
          <t>Bomba dosadora P-18 sem recalque</t>
        </is>
      </c>
      <c r="C879" t="inlineStr">
        <is>
          <t>Bomba dosadora P-18 liga mas não dosa. Mangueira sem obstrução aparente.</t>
        </is>
      </c>
      <c r="D879" t="inlineStr">
        <is>
          <t>Estação Elevatória Oeste</t>
        </is>
      </c>
      <c r="E879" t="inlineStr">
        <is>
          <t>Baixa</t>
        </is>
      </c>
      <c r="F879" t="inlineStr">
        <is>
          <t>Simone Carvalho</t>
        </is>
      </c>
      <c r="G879" t="inlineStr">
        <is>
          <t>Fechada</t>
        </is>
      </c>
      <c r="H879" s="5" t="n">
        <v>45926.87708333333</v>
      </c>
    </row>
    <row r="880">
      <c r="A880" t="inlineStr">
        <is>
          <t>OS-2378</t>
        </is>
      </c>
      <c r="B880" t="inlineStr">
        <is>
          <t>Medidor de vazão G-11 com leitura instável</t>
        </is>
      </c>
      <c r="C880" t="inlineStr">
        <is>
          <t>Medidor de vazão G-11 oscila sem variação de processo.</t>
        </is>
      </c>
      <c r="D880" t="inlineStr">
        <is>
          <t>Usina Fotovoltaica Planalto</t>
        </is>
      </c>
      <c r="E880" t="inlineStr">
        <is>
          <t>Baixa</t>
        </is>
      </c>
      <c r="F880" t="inlineStr">
        <is>
          <t>Beatriz Farias</t>
        </is>
      </c>
      <c r="G880" t="inlineStr">
        <is>
          <t>Fechada</t>
        </is>
      </c>
      <c r="H880" s="5" t="n">
        <v>45927.16736111111</v>
      </c>
    </row>
    <row r="881">
      <c r="A881" t="inlineStr">
        <is>
          <t>OS-2379</t>
        </is>
      </c>
      <c r="B881" t="inlineStr">
        <is>
          <t>Ruído anormal no motor R-17</t>
        </is>
      </c>
      <c r="C881" t="inlineStr">
        <is>
          <t>Ruído intermitente no motor R-17 durante a partida. Temperatura normal ao toque.</t>
        </is>
      </c>
      <c r="D881" t="inlineStr">
        <is>
          <t>Subestação Leste</t>
        </is>
      </c>
      <c r="E881" t="inlineStr">
        <is>
          <t>Média</t>
        </is>
      </c>
      <c r="F881" t="inlineStr">
        <is>
          <t>Natália Cordeiro</t>
        </is>
      </c>
      <c r="G881" t="inlineStr">
        <is>
          <t>Fechada</t>
        </is>
      </c>
      <c r="H881" s="5" t="n">
        <v>45927.48125</v>
      </c>
    </row>
    <row r="882">
      <c r="A882" t="inlineStr">
        <is>
          <t>OS-2380</t>
        </is>
      </c>
      <c r="B882" t="inlineStr">
        <is>
          <t>Válvula C-35 não fecha por completo</t>
        </is>
      </c>
      <c r="C882" t="inlineStr">
        <is>
          <t>Válvula C-35 com passagem residual mesmo totalmente fechada. Possível desgaste da sede.</t>
        </is>
      </c>
      <c r="D882" t="inlineStr">
        <is>
          <t>Pátio de Veículos</t>
        </is>
      </c>
      <c r="E882" t="inlineStr">
        <is>
          <t>Média</t>
        </is>
      </c>
      <c r="F882" t="inlineStr">
        <is>
          <t>Wesley Cardoso</t>
        </is>
      </c>
      <c r="G882" t="inlineStr">
        <is>
          <t>Fechada</t>
        </is>
      </c>
      <c r="H882" s="5" t="n">
        <v>45927.79236111111</v>
      </c>
    </row>
    <row r="883">
      <c r="A883" t="inlineStr">
        <is>
          <t>OS-2381</t>
        </is>
      </c>
      <c r="B883" t="inlineStr">
        <is>
          <t>Ar-condicionado da sala F-01 sem refrigerar</t>
        </is>
      </c>
      <c r="C883" t="inlineStr">
        <is>
          <t>Ar-condicionado da sala de painéis F-01 ligado sem refrigerar.</t>
        </is>
      </c>
      <c r="D883" t="inlineStr">
        <is>
          <t>Oficina Mecânica Central</t>
        </is>
      </c>
      <c r="E883" t="inlineStr">
        <is>
          <t>Média</t>
        </is>
      </c>
      <c r="F883" t="inlineStr">
        <is>
          <t>Heloísa Barreto</t>
        </is>
      </c>
      <c r="G883" t="inlineStr">
        <is>
          <t>Fechada</t>
        </is>
      </c>
      <c r="H883" s="5" t="n">
        <v>45928.08055555556</v>
      </c>
    </row>
    <row r="884">
      <c r="A884" t="inlineStr">
        <is>
          <t>OS-2382</t>
        </is>
      </c>
      <c r="B884" t="inlineStr">
        <is>
          <t>Sensor de nível sem leitura no tanque T-11</t>
        </is>
      </c>
      <c r="C884" t="inlineStr">
        <is>
          <t>Supervisório mostra leitura congelada do sensor de nível do tanque T-11.</t>
        </is>
      </c>
      <c r="D884" t="inlineStr">
        <is>
          <t>Reservatório Industrial</t>
        </is>
      </c>
      <c r="E884" t="inlineStr">
        <is>
          <t>Alta</t>
        </is>
      </c>
      <c r="F884" t="inlineStr">
        <is>
          <t>Simone Carvalho</t>
        </is>
      </c>
      <c r="G884" t="inlineStr">
        <is>
          <t>Fechada</t>
        </is>
      </c>
      <c r="H884" s="5" t="n">
        <v>45928.41041666667</v>
      </c>
    </row>
    <row r="885">
      <c r="A885" t="inlineStr">
        <is>
          <t>OS-2383</t>
        </is>
      </c>
      <c r="B885" t="inlineStr">
        <is>
          <t>Troca de filtro do compressor M-40</t>
        </is>
      </c>
      <c r="C885" t="inlineStr">
        <is>
          <t>Filtro de ar do compressor M-40 saturado. Substituição preventiva.</t>
        </is>
      </c>
      <c r="D885" t="inlineStr">
        <is>
          <t>ETA Ribeirão Fundo</t>
        </is>
      </c>
      <c r="E885" t="inlineStr">
        <is>
          <t>Média</t>
        </is>
      </c>
      <c r="F885" t="inlineStr">
        <is>
          <t>Érica Andrade</t>
        </is>
      </c>
      <c r="G885" t="inlineStr">
        <is>
          <t>Fechada</t>
        </is>
      </c>
      <c r="H885" s="5" t="n">
        <v>45928.71736111111</v>
      </c>
    </row>
    <row r="886">
      <c r="A886" t="inlineStr">
        <is>
          <t>OS-2384</t>
        </is>
      </c>
      <c r="B886" t="inlineStr">
        <is>
          <t>Pintura descascada na estrutura H-20</t>
        </is>
      </c>
      <c r="C886" t="inlineStr">
        <is>
          <t>Estrutura metálica H-20 com pontos de corrosão sob a pintura.</t>
        </is>
      </c>
      <c r="D886" t="inlineStr">
        <is>
          <t>Subestação Sul</t>
        </is>
      </c>
      <c r="E886" t="inlineStr">
        <is>
          <t>Média</t>
        </is>
      </c>
      <c r="F886" t="inlineStr">
        <is>
          <t>Jonas Teles</t>
        </is>
      </c>
      <c r="G886" t="inlineStr">
        <is>
          <t>Fechada</t>
        </is>
      </c>
      <c r="H886" s="5" t="n">
        <v>45928.99166666667</v>
      </c>
    </row>
    <row r="887">
      <c r="A887" t="inlineStr">
        <is>
          <t>OS-2385</t>
        </is>
      </c>
      <c r="B887" t="inlineStr">
        <is>
          <t>Troca de filtro do compressor F-29</t>
        </is>
      </c>
      <c r="C887" t="inlineStr">
        <is>
          <t>Filtro de ar do compressor F-29 saturado. Substituição preventiva.</t>
        </is>
      </c>
      <c r="D887" t="inlineStr">
        <is>
          <t>ETE Vale do Sol</t>
        </is>
      </c>
      <c r="E887" t="inlineStr">
        <is>
          <t>Crítica</t>
        </is>
      </c>
      <c r="F887" t="inlineStr">
        <is>
          <t>Glória Sampaio</t>
        </is>
      </c>
      <c r="G887" t="inlineStr">
        <is>
          <t>Fechada</t>
        </is>
      </c>
      <c r="H887" s="5" t="n">
        <v>45929.30833333333</v>
      </c>
    </row>
    <row r="888">
      <c r="A888" t="inlineStr">
        <is>
          <t>OS-2386</t>
        </is>
      </c>
      <c r="B888" t="inlineStr">
        <is>
          <t>Vazamento de óleo no redutor P-26</t>
        </is>
      </c>
      <c r="C888" t="inlineStr">
        <is>
          <t>Gotejamento de óleo no redutor P-26. Nível ainda dentro da faixa.</t>
        </is>
      </c>
      <c r="D888" t="inlineStr">
        <is>
          <t>Adutora Tronco Sul</t>
        </is>
      </c>
      <c r="E888" t="inlineStr">
        <is>
          <t>Crítica</t>
        </is>
      </c>
      <c r="F888" t="inlineStr">
        <is>
          <t>Lívia Montenegro</t>
        </is>
      </c>
      <c r="G888" t="inlineStr">
        <is>
          <t>Fechada</t>
        </is>
      </c>
      <c r="H888" s="5" t="n">
        <v>45929.61527777778</v>
      </c>
    </row>
    <row r="889">
      <c r="A889" t="inlineStr">
        <is>
          <t>OS-2387</t>
        </is>
      </c>
      <c r="B889" t="inlineStr">
        <is>
          <t>Vazamento de óleo no redutor T-03</t>
        </is>
      </c>
      <c r="C889" t="inlineStr">
        <is>
          <t>Gotejamento de óleo no redutor T-03. Nível ainda dentro da faixa.</t>
        </is>
      </c>
      <c r="D889" t="inlineStr">
        <is>
          <t>Subestação Leste</t>
        </is>
      </c>
      <c r="E889" t="inlineStr">
        <is>
          <t>Baixa</t>
        </is>
      </c>
      <c r="F889" t="inlineStr">
        <is>
          <t>Murilo Paiva</t>
        </is>
      </c>
      <c r="G889" t="inlineStr">
        <is>
          <t>Fechada</t>
        </is>
      </c>
      <c r="H889" s="5" t="n">
        <v>45929.90694444445</v>
      </c>
    </row>
    <row r="890">
      <c r="A890" t="inlineStr">
        <is>
          <t>OS-2388</t>
        </is>
      </c>
      <c r="B890" t="inlineStr">
        <is>
          <t>Válvula A-08 não fecha por completo</t>
        </is>
      </c>
      <c r="C890" t="inlineStr">
        <is>
          <t>Válvula A-08 com passagem residual mesmo totalmente fechada. Possível desgaste da sede.</t>
        </is>
      </c>
      <c r="D890" t="inlineStr">
        <is>
          <t>Estação Elevatória Oeste</t>
        </is>
      </c>
      <c r="E890" t="inlineStr">
        <is>
          <t>Média</t>
        </is>
      </c>
      <c r="F890" t="inlineStr">
        <is>
          <t>Yara Medeiros</t>
        </is>
      </c>
      <c r="G890" t="inlineStr">
        <is>
          <t>Fechada</t>
        </is>
      </c>
      <c r="H890" s="5" t="n">
        <v>45930.22361111111</v>
      </c>
    </row>
    <row r="891">
      <c r="A891" t="inlineStr">
        <is>
          <t>OS-2389</t>
        </is>
      </c>
      <c r="B891" t="inlineStr">
        <is>
          <t>Medidor de vazão F-22 com leitura instável</t>
        </is>
      </c>
      <c r="C891" t="inlineStr">
        <is>
          <t>Medidor de vazão F-22 oscila sem variação de processo.</t>
        </is>
      </c>
      <c r="D891" t="inlineStr">
        <is>
          <t>Usina Fotovoltaica Cerrado</t>
        </is>
      </c>
      <c r="E891" t="inlineStr">
        <is>
          <t>Média</t>
        </is>
      </c>
      <c r="F891" t="inlineStr">
        <is>
          <t>Kleber Antunes</t>
        </is>
      </c>
      <c r="G891" t="inlineStr">
        <is>
          <t>Fechada</t>
        </is>
      </c>
      <c r="H891" s="5" t="n">
        <v>45930.54097222222</v>
      </c>
    </row>
    <row r="892">
      <c r="A892" t="inlineStr">
        <is>
          <t>OS-2390</t>
        </is>
      </c>
      <c r="B892" t="inlineStr">
        <is>
          <t>Vazamento de óleo no redutor V-36</t>
        </is>
      </c>
      <c r="C892" t="inlineStr">
        <is>
          <t>Gotejamento de óleo no redutor V-36. Nível ainda dentro da faixa.</t>
        </is>
      </c>
      <c r="D892" t="inlineStr">
        <is>
          <t>Estação de Bombeamento Vila Nova</t>
        </is>
      </c>
      <c r="E892" t="inlineStr">
        <is>
          <t>Média</t>
        </is>
      </c>
      <c r="F892" t="inlineStr">
        <is>
          <t>Fernanda Quintela</t>
        </is>
      </c>
      <c r="G892" t="inlineStr">
        <is>
          <t>Fechada</t>
        </is>
      </c>
      <c r="H892" s="5" t="n">
        <v>45930.85</v>
      </c>
    </row>
    <row r="893">
      <c r="A893" t="inlineStr">
        <is>
          <t>OS-2391</t>
        </is>
      </c>
      <c r="B893" t="inlineStr">
        <is>
          <t>Calha entupida no prédio A-16</t>
        </is>
      </c>
      <c r="C893" t="inlineStr">
        <is>
          <t>Calha do prédio A-16 transbordando em dia de chuva.</t>
        </is>
      </c>
      <c r="D893" t="inlineStr">
        <is>
          <t>Usina Fotovoltaica Cerrado</t>
        </is>
      </c>
      <c r="E893" t="inlineStr">
        <is>
          <t>Média</t>
        </is>
      </c>
      <c r="F893" t="inlineStr">
        <is>
          <t>Fernanda Quintela</t>
        </is>
      </c>
      <c r="G893" t="inlineStr">
        <is>
          <t>Fechada</t>
        </is>
      </c>
      <c r="H893" s="5" t="n">
        <v>45931.16180555556</v>
      </c>
    </row>
    <row r="894">
      <c r="A894" t="inlineStr">
        <is>
          <t>OS-2392</t>
        </is>
      </c>
      <c r="B894" t="inlineStr">
        <is>
          <t>Infiltração na parede da casa de bombas P-13</t>
        </is>
      </c>
      <c r="C894" t="inlineStr">
        <is>
          <t>Mancha de umidade crescente na parede da casa de bombas P-13.</t>
        </is>
      </c>
      <c r="D894" t="inlineStr">
        <is>
          <t>Booster Morada do Sol</t>
        </is>
      </c>
      <c r="E894" t="inlineStr">
        <is>
          <t>Média</t>
        </is>
      </c>
      <c r="F894" t="inlineStr">
        <is>
          <t>Alex Nogueira</t>
        </is>
      </c>
      <c r="G894" t="inlineStr">
        <is>
          <t>Fechada</t>
        </is>
      </c>
      <c r="H894" s="5" t="n">
        <v>45931.43472222222</v>
      </c>
    </row>
    <row r="895">
      <c r="A895" t="inlineStr">
        <is>
          <t>OS-2393</t>
        </is>
      </c>
      <c r="B895" t="inlineStr">
        <is>
          <t>Portão da área E-06 emperrado</t>
        </is>
      </c>
      <c r="C895" t="inlineStr">
        <is>
          <t>Portão de acesso da área E-06 exige força excessiva para abrir.</t>
        </is>
      </c>
      <c r="D895" t="inlineStr">
        <is>
          <t>Reservatório Alto da Colina</t>
        </is>
      </c>
      <c r="E895" t="inlineStr">
        <is>
          <t>Baixa</t>
        </is>
      </c>
      <c r="F895" t="inlineStr">
        <is>
          <t>Marcos Vinícius Rocha</t>
        </is>
      </c>
      <c r="G895" t="inlineStr">
        <is>
          <t>Fechada</t>
        </is>
      </c>
      <c r="H895" s="5" t="n">
        <v>45931.74861111111</v>
      </c>
    </row>
    <row r="896">
      <c r="A896" t="inlineStr">
        <is>
          <t>OS-2394</t>
        </is>
      </c>
      <c r="B896" t="inlineStr">
        <is>
          <t>Calha entupida no prédio A-17</t>
        </is>
      </c>
      <c r="C896" t="inlineStr">
        <is>
          <t>Calha do prédio A-17 transbordando em dia de chuva.</t>
        </is>
      </c>
      <c r="D896" t="inlineStr">
        <is>
          <t>Estação de Bombeamento Vila Nova</t>
        </is>
      </c>
      <c r="E896" t="inlineStr">
        <is>
          <t>Alta</t>
        </is>
      </c>
      <c r="F896" t="inlineStr">
        <is>
          <t>Hugo Albuquerque</t>
        </is>
      </c>
      <c r="G896" t="inlineStr">
        <is>
          <t>Fechada</t>
        </is>
      </c>
      <c r="H896" s="5" t="n">
        <v>45932.06041666667</v>
      </c>
    </row>
    <row r="897">
      <c r="A897" t="inlineStr">
        <is>
          <t>OS-2395</t>
        </is>
      </c>
      <c r="B897" t="inlineStr">
        <is>
          <t>Exaustor E-31 parado</t>
        </is>
      </c>
      <c r="C897" t="inlineStr">
        <is>
          <t>Exaustor E-31 não parte. Fusível íntegro.</t>
        </is>
      </c>
      <c r="D897" t="inlineStr">
        <is>
          <t>Reservatório Industrial</t>
        </is>
      </c>
      <c r="E897" t="inlineStr">
        <is>
          <t>Média</t>
        </is>
      </c>
      <c r="F897" t="inlineStr">
        <is>
          <t>Danilo Peixoto</t>
        </is>
      </c>
      <c r="G897" t="inlineStr">
        <is>
          <t>Fechada</t>
        </is>
      </c>
      <c r="H897" s="5" t="n">
        <v>45932.34305555555</v>
      </c>
    </row>
    <row r="898">
      <c r="A898" t="inlineStr">
        <is>
          <t>OS-2396</t>
        </is>
      </c>
      <c r="B898" t="inlineStr">
        <is>
          <t>Disjuntor desarmando no painel R-37</t>
        </is>
      </c>
      <c r="C898" t="inlineStr">
        <is>
          <t>Disjuntor do painel R-37 desarmou três vezes no turno. Carga dentro do nominal.</t>
        </is>
      </c>
      <c r="D898" t="inlineStr">
        <is>
          <t>Oficina Elétrica Central</t>
        </is>
      </c>
      <c r="E898" t="inlineStr">
        <is>
          <t>Média</t>
        </is>
      </c>
      <c r="F898" t="inlineStr">
        <is>
          <t>Fernanda Quintela</t>
        </is>
      </c>
      <c r="G898" t="inlineStr">
        <is>
          <t>Fechada</t>
        </is>
      </c>
      <c r="H898" s="5" t="n">
        <v>45932.65833333333</v>
      </c>
    </row>
    <row r="899">
      <c r="A899" t="inlineStr">
        <is>
          <t>OS-2397</t>
        </is>
      </c>
      <c r="B899" t="inlineStr">
        <is>
          <t>Vazamento na bomba H-19</t>
        </is>
      </c>
      <c r="C899" t="inlineStr">
        <is>
          <t>Vazamento pelo selo mecânico da bomba H-19. Piso molhado ao redor da base.</t>
        </is>
      </c>
      <c r="D899" t="inlineStr">
        <is>
          <t>Adutora Tronco Norte</t>
        </is>
      </c>
      <c r="E899" t="inlineStr">
        <is>
          <t>Alta</t>
        </is>
      </c>
      <c r="F899" t="inlineStr">
        <is>
          <t>Zeca Moraes</t>
        </is>
      </c>
      <c r="G899" t="inlineStr">
        <is>
          <t>Fechada</t>
        </is>
      </c>
      <c r="H899" s="5" t="n">
        <v>45932.98333333333</v>
      </c>
    </row>
    <row r="900">
      <c r="A900" t="inlineStr">
        <is>
          <t>OS-2398</t>
        </is>
      </c>
      <c r="B900" t="inlineStr">
        <is>
          <t>Vazamento de óleo no redutor D-29</t>
        </is>
      </c>
      <c r="C900" t="inlineStr">
        <is>
          <t>Gotejamento de óleo no redutor D-29. Nível ainda dentro da faixa.</t>
        </is>
      </c>
      <c r="D900" t="inlineStr">
        <is>
          <t>Oficina Elétrica Central</t>
        </is>
      </c>
      <c r="E900" t="inlineStr">
        <is>
          <t>Média</t>
        </is>
      </c>
      <c r="F900" t="inlineStr">
        <is>
          <t>Fernanda Quintela</t>
        </is>
      </c>
      <c r="G900" t="inlineStr">
        <is>
          <t>Fechada</t>
        </is>
      </c>
      <c r="H900" s="5" t="n">
        <v>45933.25972222222</v>
      </c>
    </row>
    <row r="901">
      <c r="A901" t="inlineStr">
        <is>
          <t>OS-2399</t>
        </is>
      </c>
      <c r="B901" t="inlineStr">
        <is>
          <t>Infiltração na parede da casa de bombas C-02</t>
        </is>
      </c>
      <c r="C901" t="inlineStr">
        <is>
          <t>Mancha de umidade crescente na parede da casa de bombas C-02.</t>
        </is>
      </c>
      <c r="D901" t="inlineStr">
        <is>
          <t>Subestação Oeste</t>
        </is>
      </c>
      <c r="E901" t="inlineStr">
        <is>
          <t>Alta</t>
        </is>
      </c>
      <c r="F901" t="inlineStr">
        <is>
          <t>Bernardo Leal</t>
        </is>
      </c>
      <c r="G901" t="inlineStr">
        <is>
          <t>Fechada</t>
        </is>
      </c>
      <c r="H901" s="5" t="n">
        <v>45933.58888888889</v>
      </c>
    </row>
    <row r="902">
      <c r="A902" t="inlineStr">
        <is>
          <t>OS-2400</t>
        </is>
      </c>
      <c r="B902" t="inlineStr">
        <is>
          <t>Pintura descascada na estrutura M-06</t>
        </is>
      </c>
      <c r="C902" t="inlineStr">
        <is>
          <t>Estrutura metálica M-06 com pontos de corrosão sob a pintura.</t>
        </is>
      </c>
      <c r="D902" t="inlineStr">
        <is>
          <t>Subestação Leste</t>
        </is>
      </c>
      <c r="E902" t="inlineStr">
        <is>
          <t>Média</t>
        </is>
      </c>
      <c r="F902" t="inlineStr">
        <is>
          <t>Thiago Bastos</t>
        </is>
      </c>
      <c r="G902" t="inlineStr">
        <is>
          <t>Fechada</t>
        </is>
      </c>
      <c r="H902" s="5" t="n">
        <v>45933.88680555556</v>
      </c>
    </row>
    <row r="903">
      <c r="A903" t="inlineStr">
        <is>
          <t>OS-2401</t>
        </is>
      </c>
      <c r="B903" t="inlineStr">
        <is>
          <t>Correia do ventilador P-05 desgastada</t>
        </is>
      </c>
      <c r="C903" t="inlineStr">
        <is>
          <t>Correia do ventilador P-05 com trincas visíveis e folga excessiva.</t>
        </is>
      </c>
      <c r="D903" t="inlineStr">
        <is>
          <t>Subestação Sul</t>
        </is>
      </c>
      <c r="E903" t="inlineStr">
        <is>
          <t>Alta</t>
        </is>
      </c>
      <c r="F903" t="inlineStr">
        <is>
          <t>Beatriz Farias</t>
        </is>
      </c>
      <c r="G903" t="inlineStr">
        <is>
          <t>Fechada</t>
        </is>
      </c>
      <c r="H903" s="5" t="n">
        <v>45934.19236111111</v>
      </c>
    </row>
    <row r="904">
      <c r="A904" t="inlineStr">
        <is>
          <t>OS-2402</t>
        </is>
      </c>
      <c r="B904" t="inlineStr">
        <is>
          <t>Aquecimento no mancal do motor T-16</t>
        </is>
      </c>
      <c r="C904" t="inlineStr">
        <is>
          <t>Mancal do motor T-16 acima da temperatura usual na medição com termômetro infravermelho.</t>
        </is>
      </c>
      <c r="D904" t="inlineStr">
        <is>
          <t>Reservatório Alto da Colina</t>
        </is>
      </c>
      <c r="E904" t="inlineStr">
        <is>
          <t>Alta</t>
        </is>
      </c>
      <c r="F904" t="inlineStr">
        <is>
          <t>Vagner Pacheco</t>
        </is>
      </c>
      <c r="G904" t="inlineStr">
        <is>
          <t>Fechada</t>
        </is>
      </c>
      <c r="H904" s="5" t="n">
        <v>45934.47777777778</v>
      </c>
    </row>
    <row r="905">
      <c r="A905" t="inlineStr">
        <is>
          <t>OS-2403</t>
        </is>
      </c>
      <c r="B905" t="inlineStr">
        <is>
          <t>Válvula E-34 não fecha por completo</t>
        </is>
      </c>
      <c r="C905" t="inlineStr">
        <is>
          <t>Válvula E-34 com passagem residual mesmo totalmente fechada. Possível desgaste da sede.</t>
        </is>
      </c>
      <c r="D905" t="inlineStr">
        <is>
          <t>ETE Rio Claro</t>
        </is>
      </c>
      <c r="E905" t="inlineStr">
        <is>
          <t>Baixa</t>
        </is>
      </c>
      <c r="F905" t="inlineStr">
        <is>
          <t>Alex Nogueira</t>
        </is>
      </c>
      <c r="G905" t="inlineStr">
        <is>
          <t>Fechada</t>
        </is>
      </c>
      <c r="H905" s="5" t="n">
        <v>45934.80138888889</v>
      </c>
    </row>
    <row r="906">
      <c r="A906" t="inlineStr">
        <is>
          <t>OS-2404</t>
        </is>
      </c>
      <c r="B906" t="inlineStr">
        <is>
          <t>Aquecimento no mancal do motor A-01</t>
        </is>
      </c>
      <c r="C906" t="inlineStr">
        <is>
          <t>Mancal do motor A-01 acima da temperatura usual na medição com termômetro infravermelho.</t>
        </is>
      </c>
      <c r="D906" t="inlineStr">
        <is>
          <t>Base Operacional Litoral</t>
        </is>
      </c>
      <c r="E906" t="inlineStr">
        <is>
          <t>Alta</t>
        </is>
      </c>
      <c r="F906" t="inlineStr">
        <is>
          <t>Fernanda Quintela</t>
        </is>
      </c>
      <c r="G906" t="inlineStr">
        <is>
          <t>Fechada</t>
        </is>
      </c>
      <c r="H906" s="5" t="n">
        <v>45935.08958333333</v>
      </c>
    </row>
    <row r="907">
      <c r="A907" t="inlineStr">
        <is>
          <t>OS-2405</t>
        </is>
      </c>
      <c r="B907" t="inlineStr">
        <is>
          <t>Infiltração na parede da casa de bombas T-19</t>
        </is>
      </c>
      <c r="C907" t="inlineStr">
        <is>
          <t>Mancha de umidade crescente na parede da casa de bombas T-19.</t>
        </is>
      </c>
      <c r="D907" t="inlineStr">
        <is>
          <t>Galpão de Materiais</t>
        </is>
      </c>
      <c r="E907" t="inlineStr">
        <is>
          <t>Baixa</t>
        </is>
      </c>
      <c r="F907" t="inlineStr">
        <is>
          <t>Simone Carvalho</t>
        </is>
      </c>
      <c r="G907" t="inlineStr">
        <is>
          <t>Fechada</t>
        </is>
      </c>
      <c r="H907" s="5" t="n">
        <v>45935.41736111111</v>
      </c>
    </row>
    <row r="908">
      <c r="A908" t="inlineStr">
        <is>
          <t>OS-2406</t>
        </is>
      </c>
      <c r="B908" t="inlineStr">
        <is>
          <t>Infiltração na parede da casa de bombas F-07</t>
        </is>
      </c>
      <c r="C908" t="inlineStr">
        <is>
          <t>Mancha de umidade crescente na parede da casa de bombas F-07.</t>
        </is>
      </c>
      <c r="D908" t="inlineStr">
        <is>
          <t>Estação de Bombeamento Vila Nova</t>
        </is>
      </c>
      <c r="E908" t="inlineStr">
        <is>
          <t>Alta</t>
        </is>
      </c>
      <c r="F908" t="inlineStr">
        <is>
          <t>Caio Rangel</t>
        </is>
      </c>
      <c r="G908" t="inlineStr">
        <is>
          <t>Fechada</t>
        </is>
      </c>
      <c r="H908" s="5" t="n">
        <v>45935.7125</v>
      </c>
    </row>
    <row r="909">
      <c r="A909" t="inlineStr">
        <is>
          <t>OS-2407</t>
        </is>
      </c>
      <c r="B909" t="inlineStr">
        <is>
          <t>Ruído anormal no motor C-28</t>
        </is>
      </c>
      <c r="C909" t="inlineStr">
        <is>
          <t>Ruído intermitente no motor C-28 durante a partida. Temperatura normal ao toque.</t>
        </is>
      </c>
      <c r="D909" t="inlineStr">
        <is>
          <t>Captação Rio Verde</t>
        </is>
      </c>
      <c r="E909" t="inlineStr">
        <is>
          <t>Alta</t>
        </is>
      </c>
      <c r="F909" t="inlineStr">
        <is>
          <t>Natália Cordeiro</t>
        </is>
      </c>
      <c r="G909" t="inlineStr">
        <is>
          <t>Fechada</t>
        </is>
      </c>
      <c r="H909" s="5" t="n">
        <v>45936.01458333333</v>
      </c>
    </row>
    <row r="910">
      <c r="A910" t="inlineStr">
        <is>
          <t>OS-2408</t>
        </is>
      </c>
      <c r="B910" t="inlineStr">
        <is>
          <t>Pintura descascada na estrutura H-18</t>
        </is>
      </c>
      <c r="C910" t="inlineStr">
        <is>
          <t>Estrutura metálica H-18 com pontos de corrosão sob a pintura.</t>
        </is>
      </c>
      <c r="D910" t="inlineStr">
        <is>
          <t>Subestação Centro</t>
        </is>
      </c>
      <c r="E910" t="inlineStr">
        <is>
          <t>Alta</t>
        </is>
      </c>
      <c r="F910" t="inlineStr">
        <is>
          <t>Hugo Albuquerque</t>
        </is>
      </c>
      <c r="G910" t="inlineStr">
        <is>
          <t>Fechada</t>
        </is>
      </c>
      <c r="H910" s="5" t="n">
        <v>45936.33888888889</v>
      </c>
    </row>
    <row r="911">
      <c r="A911" t="inlineStr">
        <is>
          <t>OS-2409</t>
        </is>
      </c>
      <c r="B911" t="inlineStr">
        <is>
          <t>Calha entupida no prédio P-25</t>
        </is>
      </c>
      <c r="C911" t="inlineStr">
        <is>
          <t>Calha do prédio P-25 transbordando em dia de chuva.</t>
        </is>
      </c>
      <c r="D911" t="inlineStr">
        <is>
          <t>Adutora Tronco Norte</t>
        </is>
      </c>
      <c r="E911" t="inlineStr">
        <is>
          <t>Alta</t>
        </is>
      </c>
      <c r="F911" t="inlineStr">
        <is>
          <t>Hugo Albuquerque</t>
        </is>
      </c>
      <c r="G911" t="inlineStr">
        <is>
          <t>Fechada</t>
        </is>
      </c>
      <c r="H911" s="5" t="n">
        <v>45936.63055555556</v>
      </c>
    </row>
    <row r="912">
      <c r="A912" t="inlineStr">
        <is>
          <t>OS-2410</t>
        </is>
      </c>
      <c r="B912" t="inlineStr">
        <is>
          <t>Exaustor R-36 parado</t>
        </is>
      </c>
      <c r="C912" t="inlineStr">
        <is>
          <t>Exaustor R-36 não parte. Fusível íntegro.</t>
        </is>
      </c>
      <c r="D912" t="inlineStr">
        <is>
          <t>Subestação Sul</t>
        </is>
      </c>
      <c r="E912" t="inlineStr">
        <is>
          <t>Alta</t>
        </is>
      </c>
      <c r="F912" t="inlineStr">
        <is>
          <t>Danilo Peixoto</t>
        </is>
      </c>
      <c r="G912" t="inlineStr">
        <is>
          <t>Fechada</t>
        </is>
      </c>
      <c r="H912" s="5" t="n">
        <v>45936.95</v>
      </c>
    </row>
    <row r="913">
      <c r="A913" t="inlineStr">
        <is>
          <t>OS-2411</t>
        </is>
      </c>
      <c r="B913" t="inlineStr">
        <is>
          <t>Lâmpada queimada na área M-26</t>
        </is>
      </c>
      <c r="C913" t="inlineStr">
        <is>
          <t>Iluminação da área M-26 sem funcionar. Reposição de lâmpada e conferência do reator.</t>
        </is>
      </c>
      <c r="D913" t="inlineStr">
        <is>
          <t>Subestação Centro</t>
        </is>
      </c>
      <c r="E913" t="inlineStr">
        <is>
          <t>Alta</t>
        </is>
      </c>
      <c r="F913" t="inlineStr">
        <is>
          <t>Beatriz Farias</t>
        </is>
      </c>
      <c r="G913" t="inlineStr">
        <is>
          <t>Fechada</t>
        </is>
      </c>
      <c r="H913" s="5" t="n">
        <v>45937.25902777778</v>
      </c>
    </row>
    <row r="914">
      <c r="A914" t="inlineStr">
        <is>
          <t>OS-2412</t>
        </is>
      </c>
      <c r="B914" t="inlineStr">
        <is>
          <t>Válvula G-36 não fecha por completo</t>
        </is>
      </c>
      <c r="C914" t="inlineStr">
        <is>
          <t>Válvula G-36 com passagem residual mesmo totalmente fechada. Possível desgaste da sede.</t>
        </is>
      </c>
      <c r="D914" t="inlineStr">
        <is>
          <t>Torre de Telecomunicação Morro Alto</t>
        </is>
      </c>
      <c r="E914" t="inlineStr">
        <is>
          <t>Crítica</t>
        </is>
      </c>
      <c r="F914" t="inlineStr">
        <is>
          <t>Glória Sampaio</t>
        </is>
      </c>
      <c r="G914" t="inlineStr">
        <is>
          <t>Fechada</t>
        </is>
      </c>
      <c r="H914" s="5" t="n">
        <v>45937.54166666666</v>
      </c>
    </row>
    <row r="915">
      <c r="A915" t="inlineStr">
        <is>
          <t>OS-2413</t>
        </is>
      </c>
      <c r="B915" t="inlineStr">
        <is>
          <t>Medidor de vazão H-13 com leitura instável</t>
        </is>
      </c>
      <c r="C915" t="inlineStr">
        <is>
          <t>Medidor de vazão H-13 oscila sem variação de processo.</t>
        </is>
      </c>
      <c r="D915" t="inlineStr">
        <is>
          <t>Estação Elevatória Leste</t>
        </is>
      </c>
      <c r="E915" t="inlineStr">
        <is>
          <t>Alta</t>
        </is>
      </c>
      <c r="F915" t="inlineStr">
        <is>
          <t>Daniela Pires</t>
        </is>
      </c>
      <c r="G915" t="inlineStr">
        <is>
          <t>Fechada</t>
        </is>
      </c>
      <c r="H915" s="5" t="n">
        <v>45937.83402777778</v>
      </c>
    </row>
    <row r="916">
      <c r="A916" t="inlineStr">
        <is>
          <t>OS-2414</t>
        </is>
      </c>
      <c r="B916" t="inlineStr">
        <is>
          <t>Falha de comunicação no CLP V-17</t>
        </is>
      </c>
      <c r="C916" t="inlineStr">
        <is>
          <t>CLP V-17 perde comunicação com o supervisório em intervalos irregulares.</t>
        </is>
      </c>
      <c r="D916" t="inlineStr">
        <is>
          <t>ETE Vale do Sol</t>
        </is>
      </c>
      <c r="E916" t="inlineStr">
        <is>
          <t>Média</t>
        </is>
      </c>
      <c r="F916" t="inlineStr">
        <is>
          <t>Eduardo Salles</t>
        </is>
      </c>
      <c r="G916" t="inlineStr">
        <is>
          <t>Fechada</t>
        </is>
      </c>
      <c r="H916" s="5" t="n">
        <v>45938.15</v>
      </c>
    </row>
    <row r="917">
      <c r="A917" t="inlineStr">
        <is>
          <t>OS-2415</t>
        </is>
      </c>
      <c r="B917" t="inlineStr">
        <is>
          <t>Infiltração na parede da casa de bombas C-28</t>
        </is>
      </c>
      <c r="C917" t="inlineStr">
        <is>
          <t>Mancha de umidade crescente na parede da casa de bombas C-28.</t>
        </is>
      </c>
      <c r="D917" t="inlineStr">
        <is>
          <t>Adutora Tronco Norte</t>
        </is>
      </c>
      <c r="E917" t="inlineStr">
        <is>
          <t>Baixa</t>
        </is>
      </c>
      <c r="F917" t="inlineStr">
        <is>
          <t>Rafael Torres</t>
        </is>
      </c>
      <c r="G917" t="inlineStr">
        <is>
          <t>Fechada</t>
        </is>
      </c>
      <c r="H917" s="5" t="n">
        <v>45938.46666666667</v>
      </c>
    </row>
    <row r="918">
      <c r="A918" t="inlineStr">
        <is>
          <t>OS-2416</t>
        </is>
      </c>
      <c r="B918" t="inlineStr">
        <is>
          <t>Disjuntor desarmando no painel C-22</t>
        </is>
      </c>
      <c r="C918" t="inlineStr">
        <is>
          <t>Disjuntor do painel C-22 desarmou três vezes no turno. Carga dentro do nominal.</t>
        </is>
      </c>
      <c r="D918" t="inlineStr">
        <is>
          <t>Pátio de Veículos</t>
        </is>
      </c>
      <c r="E918" t="inlineStr">
        <is>
          <t>Baixa</t>
        </is>
      </c>
      <c r="F918" t="inlineStr">
        <is>
          <t>Murilo Paiva</t>
        </is>
      </c>
      <c r="G918" t="inlineStr">
        <is>
          <t>Fechada</t>
        </is>
      </c>
      <c r="H918" s="5" t="n">
        <v>45938.74861111111</v>
      </c>
    </row>
    <row r="919">
      <c r="A919" t="inlineStr">
        <is>
          <t>OS-2417</t>
        </is>
      </c>
      <c r="B919" t="inlineStr">
        <is>
          <t>Ar-condicionado da sala P-01 sem refrigerar</t>
        </is>
      </c>
      <c r="C919" t="inlineStr">
        <is>
          <t>Ar-condicionado da sala de painéis P-01 ligado sem refrigerar.</t>
        </is>
      </c>
      <c r="D919" t="inlineStr">
        <is>
          <t>Pátio de Veículos</t>
        </is>
      </c>
      <c r="E919" t="inlineStr">
        <is>
          <t>Média</t>
        </is>
      </c>
      <c r="F919" t="inlineStr">
        <is>
          <t>Rafael Torres</t>
        </is>
      </c>
      <c r="G919" t="inlineStr">
        <is>
          <t>Fechada</t>
        </is>
      </c>
      <c r="H919" s="5" t="n">
        <v>45939.06597222222</v>
      </c>
    </row>
    <row r="920">
      <c r="A920" t="inlineStr">
        <is>
          <t>OS-2418</t>
        </is>
      </c>
      <c r="B920" t="inlineStr">
        <is>
          <t>Tomada sem energia na sala H-08</t>
        </is>
      </c>
      <c r="C920" t="inlineStr">
        <is>
          <t>Tomada de serviço da sala H-08 sem tensão.</t>
        </is>
      </c>
      <c r="D920" t="inlineStr">
        <is>
          <t>Oficina Mecânica Central</t>
        </is>
      </c>
      <c r="E920" t="inlineStr">
        <is>
          <t>Média</t>
        </is>
      </c>
      <c r="F920" t="inlineStr">
        <is>
          <t>Thiago Bastos</t>
        </is>
      </c>
      <c r="G920" t="inlineStr">
        <is>
          <t>Fechada</t>
        </is>
      </c>
      <c r="H920" s="5" t="n">
        <v>45939.37708333333</v>
      </c>
    </row>
    <row r="921">
      <c r="A921" t="inlineStr">
        <is>
          <t>OS-2419</t>
        </is>
      </c>
      <c r="B921" t="inlineStr">
        <is>
          <t>Pintura descascada na estrutura M-20</t>
        </is>
      </c>
      <c r="C921" t="inlineStr">
        <is>
          <t>Estrutura metálica M-20 com pontos de corrosão sob a pintura.</t>
        </is>
      </c>
      <c r="D921" t="inlineStr">
        <is>
          <t>Centro de Operações</t>
        </is>
      </c>
      <c r="E921" t="inlineStr">
        <is>
          <t>Média</t>
        </is>
      </c>
      <c r="F921" t="inlineStr">
        <is>
          <t>Marcos Vinícius Rocha</t>
        </is>
      </c>
      <c r="G921" t="inlineStr">
        <is>
          <t>Fechada</t>
        </is>
      </c>
      <c r="H921" s="5" t="n">
        <v>45939.66736111111</v>
      </c>
    </row>
    <row r="922">
      <c r="A922" t="inlineStr">
        <is>
          <t>OS-2420</t>
        </is>
      </c>
      <c r="B922" t="inlineStr">
        <is>
          <t>Aquecimento no mancal do motor T-23</t>
        </is>
      </c>
      <c r="C922" t="inlineStr">
        <is>
          <t>Mancal do motor T-23 acima da temperatura usual na medição com termômetro infravermelho.</t>
        </is>
      </c>
      <c r="D922" t="inlineStr">
        <is>
          <t>Torre de Telecomunicação Morro Alto</t>
        </is>
      </c>
      <c r="E922" t="inlineStr">
        <is>
          <t>Crítica</t>
        </is>
      </c>
      <c r="F922" t="inlineStr">
        <is>
          <t>Wesley Cardoso</t>
        </is>
      </c>
      <c r="G922" t="inlineStr">
        <is>
          <t>Fechada</t>
        </is>
      </c>
      <c r="H922" s="5" t="n">
        <v>45939.99583333333</v>
      </c>
    </row>
    <row r="923">
      <c r="A923" t="inlineStr">
        <is>
          <t>OS-2421</t>
        </is>
      </c>
      <c r="B923" t="inlineStr">
        <is>
          <t>Calha entupida no prédio R-17</t>
        </is>
      </c>
      <c r="C923" t="inlineStr">
        <is>
          <t>Calha do prédio R-17 transbordando em dia de chuva.</t>
        </is>
      </c>
      <c r="D923" t="inlineStr">
        <is>
          <t>Sede Administrativa</t>
        </is>
      </c>
      <c r="E923" t="inlineStr">
        <is>
          <t>Baixa</t>
        </is>
      </c>
      <c r="F923" t="inlineStr">
        <is>
          <t>Hugo Albuquerque</t>
        </is>
      </c>
      <c r="G923" t="inlineStr">
        <is>
          <t>Fechada</t>
        </is>
      </c>
      <c r="H923" s="5" t="n">
        <v>45940.30555555555</v>
      </c>
    </row>
    <row r="924">
      <c r="A924" t="inlineStr">
        <is>
          <t>OS-2422</t>
        </is>
      </c>
      <c r="B924" t="inlineStr">
        <is>
          <t>Portão da área V-10 emperrado</t>
        </is>
      </c>
      <c r="C924" t="inlineStr">
        <is>
          <t>Portão de acesso da área V-10 exige força excessiva para abrir.</t>
        </is>
      </c>
      <c r="D924" t="inlineStr">
        <is>
          <t>Estação Elevatória Porto</t>
        </is>
      </c>
      <c r="E924" t="inlineStr">
        <is>
          <t>Baixa</t>
        </is>
      </c>
      <c r="F924" t="inlineStr">
        <is>
          <t>Hugo Albuquerque</t>
        </is>
      </c>
      <c r="G924" t="inlineStr">
        <is>
          <t>Fechada</t>
        </is>
      </c>
      <c r="H924" s="5" t="n">
        <v>45940.58888888889</v>
      </c>
    </row>
    <row r="925">
      <c r="A925" t="inlineStr">
        <is>
          <t>OS-2423</t>
        </is>
      </c>
      <c r="B925" t="inlineStr">
        <is>
          <t>Sensor de nível sem leitura no tanque G-06</t>
        </is>
      </c>
      <c r="C925" t="inlineStr">
        <is>
          <t>Supervisório mostra leitura congelada do sensor de nível do tanque G-06.</t>
        </is>
      </c>
      <c r="D925" t="inlineStr">
        <is>
          <t>Base Operacional Norte</t>
        </is>
      </c>
      <c r="E925" t="inlineStr">
        <is>
          <t>Alta</t>
        </is>
      </c>
      <c r="F925" t="inlineStr">
        <is>
          <t>Flávio Gusmão</t>
        </is>
      </c>
      <c r="G925" t="inlineStr">
        <is>
          <t>Fechada</t>
        </is>
      </c>
      <c r="H925" s="5" t="n">
        <v>45940.90694444445</v>
      </c>
    </row>
    <row r="926">
      <c r="A926" t="inlineStr">
        <is>
          <t>OS-2424</t>
        </is>
      </c>
      <c r="B926" t="inlineStr">
        <is>
          <t>Ruído anormal no motor P-04</t>
        </is>
      </c>
      <c r="C926" t="inlineStr">
        <is>
          <t>Ruído intermitente no motor P-04 durante a partida. Temperatura normal ao toque.</t>
        </is>
      </c>
      <c r="D926" t="inlineStr">
        <is>
          <t>Sede Administrativa</t>
        </is>
      </c>
      <c r="E926" t="inlineStr">
        <is>
          <t>Média</t>
        </is>
      </c>
      <c r="F926" t="inlineStr">
        <is>
          <t>Juliana Aguiar</t>
        </is>
      </c>
      <c r="G926" t="inlineStr">
        <is>
          <t>Fechada</t>
        </is>
      </c>
      <c r="H926" s="5" t="n">
        <v>45941.2</v>
      </c>
    </row>
    <row r="927">
      <c r="A927" t="inlineStr">
        <is>
          <t>OS-2425</t>
        </is>
      </c>
      <c r="B927" t="inlineStr">
        <is>
          <t>Calha entupida no prédio T-33</t>
        </is>
      </c>
      <c r="C927" t="inlineStr">
        <is>
          <t>Calha do prédio T-33 transbordando em dia de chuva.</t>
        </is>
      </c>
      <c r="D927" t="inlineStr">
        <is>
          <t>Torre de Telecomunicação Morro Alto</t>
        </is>
      </c>
      <c r="E927" t="inlineStr">
        <is>
          <t>Crítica</t>
        </is>
      </c>
      <c r="F927" t="inlineStr">
        <is>
          <t>Heloísa Barreto</t>
        </is>
      </c>
      <c r="G927" t="inlineStr">
        <is>
          <t>Fechada</t>
        </is>
      </c>
      <c r="H927" s="5" t="n">
        <v>45941.53263888889</v>
      </c>
    </row>
    <row r="928">
      <c r="A928" t="inlineStr">
        <is>
          <t>OS-2426</t>
        </is>
      </c>
      <c r="B928" t="inlineStr">
        <is>
          <t>Portão da área T-19 emperrado</t>
        </is>
      </c>
      <c r="C928" t="inlineStr">
        <is>
          <t>Portão de acesso da área T-19 exige força excessiva para abrir.</t>
        </is>
      </c>
      <c r="D928" t="inlineStr">
        <is>
          <t>Captação Lagoa Seca</t>
        </is>
      </c>
      <c r="E928" t="inlineStr">
        <is>
          <t>Média</t>
        </is>
      </c>
      <c r="F928" t="inlineStr">
        <is>
          <t>Gabriel Matos</t>
        </is>
      </c>
      <c r="G928" t="inlineStr">
        <is>
          <t>Fechada</t>
        </is>
      </c>
      <c r="H928" s="5" t="n">
        <v>45941.82916666667</v>
      </c>
    </row>
    <row r="929">
      <c r="A929" t="inlineStr">
        <is>
          <t>OS-2427</t>
        </is>
      </c>
      <c r="B929" t="inlineStr">
        <is>
          <t>Sensor de nível sem leitura no tanque P-06</t>
        </is>
      </c>
      <c r="C929" t="inlineStr">
        <is>
          <t>Supervisório mostra leitura congelada do sensor de nível do tanque P-06.</t>
        </is>
      </c>
      <c r="D929" t="inlineStr">
        <is>
          <t>Reservatório Alto da Colina</t>
        </is>
      </c>
      <c r="E929" t="inlineStr">
        <is>
          <t>Média</t>
        </is>
      </c>
      <c r="F929" t="inlineStr">
        <is>
          <t>Caio Rangel</t>
        </is>
      </c>
      <c r="G929" t="inlineStr">
        <is>
          <t>Fechada</t>
        </is>
      </c>
      <c r="H929" s="5" t="n">
        <v>45942.14513888889</v>
      </c>
    </row>
    <row r="930">
      <c r="A930" t="inlineStr">
        <is>
          <t>OS-2428</t>
        </is>
      </c>
      <c r="B930" t="inlineStr">
        <is>
          <t>Portão da área M-03 emperrado</t>
        </is>
      </c>
      <c r="C930" t="inlineStr">
        <is>
          <t>Portão de acesso da área M-03 exige força excessiva para abrir.</t>
        </is>
      </c>
      <c r="D930" t="inlineStr">
        <is>
          <t>Oficina Mecânica Central</t>
        </is>
      </c>
      <c r="E930" t="inlineStr">
        <is>
          <t>Média</t>
        </is>
      </c>
      <c r="F930" t="inlineStr">
        <is>
          <t>Jonas Teles</t>
        </is>
      </c>
      <c r="G930" t="inlineStr">
        <is>
          <t>Fechada</t>
        </is>
      </c>
      <c r="H930" s="5" t="n">
        <v>45942.43055555555</v>
      </c>
    </row>
    <row r="931">
      <c r="A931" t="inlineStr">
        <is>
          <t>OS-2429</t>
        </is>
      </c>
      <c r="B931" t="inlineStr">
        <is>
          <t>Ruído anormal no motor M-20</t>
        </is>
      </c>
      <c r="C931" t="inlineStr">
        <is>
          <t>Ruído intermitente no motor M-20 durante a partida. Temperatura normal ao toque.</t>
        </is>
      </c>
      <c r="D931" t="inlineStr">
        <is>
          <t>Captação Rio Verde</t>
        </is>
      </c>
      <c r="E931" t="inlineStr">
        <is>
          <t>Alta</t>
        </is>
      </c>
      <c r="F931" t="inlineStr">
        <is>
          <t>Igor Fonseca</t>
        </is>
      </c>
      <c r="G931" t="inlineStr">
        <is>
          <t>Fechada</t>
        </is>
      </c>
      <c r="H931" s="5" t="n">
        <v>45942.72083333333</v>
      </c>
    </row>
    <row r="932">
      <c r="A932" t="inlineStr">
        <is>
          <t>OS-2430</t>
        </is>
      </c>
      <c r="B932" t="inlineStr">
        <is>
          <t>Portão da área R-03 emperrado</t>
        </is>
      </c>
      <c r="C932" t="inlineStr">
        <is>
          <t>Portão de acesso da área R-03 exige força excessiva para abrir.</t>
        </is>
      </c>
      <c r="D932" t="inlineStr">
        <is>
          <t>Estação Elevatória Leste</t>
        </is>
      </c>
      <c r="E932" t="inlineStr">
        <is>
          <t>Crítica</t>
        </is>
      </c>
      <c r="F932" t="inlineStr">
        <is>
          <t>Larissa Bezerra</t>
        </is>
      </c>
      <c r="G932" t="inlineStr">
        <is>
          <t>Fechada</t>
        </is>
      </c>
      <c r="H932" s="5" t="n">
        <v>45943.06041666667</v>
      </c>
    </row>
    <row r="933">
      <c r="A933" t="inlineStr">
        <is>
          <t>OS-2431</t>
        </is>
      </c>
      <c r="B933" t="inlineStr">
        <is>
          <t>Tomada sem energia na sala F-27</t>
        </is>
      </c>
      <c r="C933" t="inlineStr">
        <is>
          <t>Tomada de serviço da sala F-27 sem tensão.</t>
        </is>
      </c>
      <c r="D933" t="inlineStr">
        <is>
          <t>ETA Serra Azul</t>
        </is>
      </c>
      <c r="E933" t="inlineStr">
        <is>
          <t>Baixa</t>
        </is>
      </c>
      <c r="F933" t="inlineStr">
        <is>
          <t>Rafael Torres</t>
        </is>
      </c>
      <c r="G933" t="inlineStr">
        <is>
          <t>Fechada</t>
        </is>
      </c>
      <c r="H933" s="5" t="n">
        <v>45943.35138888889</v>
      </c>
    </row>
    <row r="934">
      <c r="A934" t="inlineStr">
        <is>
          <t>OS-2432</t>
        </is>
      </c>
      <c r="B934" t="inlineStr">
        <is>
          <t>Disjuntor desarmando no painel H-39</t>
        </is>
      </c>
      <c r="C934" t="inlineStr">
        <is>
          <t>Disjuntor do painel H-39 desarmou três vezes no turno. Carga dentro do nominal.</t>
        </is>
      </c>
      <c r="D934" t="inlineStr">
        <is>
          <t>Base Operacional Sul</t>
        </is>
      </c>
      <c r="E934" t="inlineStr">
        <is>
          <t>Média</t>
        </is>
      </c>
      <c r="F934" t="inlineStr">
        <is>
          <t>Jonas Teles</t>
        </is>
      </c>
      <c r="G934" t="inlineStr">
        <is>
          <t>Fechada</t>
        </is>
      </c>
      <c r="H934" s="5" t="n">
        <v>45943.64583333334</v>
      </c>
    </row>
    <row r="935">
      <c r="A935" t="inlineStr">
        <is>
          <t>OS-2433</t>
        </is>
      </c>
      <c r="B935" t="inlineStr">
        <is>
          <t>Exaustor V-16 parado</t>
        </is>
      </c>
      <c r="C935" t="inlineStr">
        <is>
          <t>Exaustor V-16 não parte. Fusível íntegro.</t>
        </is>
      </c>
      <c r="D935" t="inlineStr">
        <is>
          <t>Base Operacional Sul</t>
        </is>
      </c>
      <c r="E935" t="inlineStr">
        <is>
          <t>Média</t>
        </is>
      </c>
      <c r="F935" t="inlineStr">
        <is>
          <t>Natália Cordeiro</t>
        </is>
      </c>
      <c r="G935" t="inlineStr">
        <is>
          <t>Fechada</t>
        </is>
      </c>
      <c r="H935" s="5" t="n">
        <v>45943.96944444445</v>
      </c>
    </row>
    <row r="936">
      <c r="A936" t="inlineStr">
        <is>
          <t>OS-2434</t>
        </is>
      </c>
      <c r="B936" t="inlineStr">
        <is>
          <t>Aquecimento no mancal do motor P-19</t>
        </is>
      </c>
      <c r="C936" t="inlineStr">
        <is>
          <t>Mancal do motor P-19 acima da temperatura usual na medição com termômetro infravermelho.</t>
        </is>
      </c>
      <c r="D936" t="inlineStr">
        <is>
          <t>ETE Vale do Sol</t>
        </is>
      </c>
      <c r="E936" t="inlineStr">
        <is>
          <t>Alta</t>
        </is>
      </c>
      <c r="F936" t="inlineStr">
        <is>
          <t>Juliana Aguiar</t>
        </is>
      </c>
      <c r="G936" t="inlineStr">
        <is>
          <t>Fechada</t>
        </is>
      </c>
      <c r="H936" s="5" t="n">
        <v>45944.25763888889</v>
      </c>
    </row>
    <row r="937">
      <c r="A937" t="inlineStr">
        <is>
          <t>OS-2435</t>
        </is>
      </c>
      <c r="B937" t="inlineStr">
        <is>
          <t>Ar-condicionado da sala G-21 sem refrigerar</t>
        </is>
      </c>
      <c r="C937" t="inlineStr">
        <is>
          <t>Ar-condicionado da sala de painéis G-21 ligado sem refrigerar.</t>
        </is>
      </c>
      <c r="D937" t="inlineStr">
        <is>
          <t>Subestação Centro</t>
        </is>
      </c>
      <c r="E937" t="inlineStr">
        <is>
          <t>Baixa</t>
        </is>
      </c>
      <c r="F937" t="inlineStr">
        <is>
          <t>Bernardo Leal</t>
        </is>
      </c>
      <c r="G937" t="inlineStr">
        <is>
          <t>Fechada</t>
        </is>
      </c>
      <c r="H937" s="5" t="n">
        <v>45944.55486111111</v>
      </c>
    </row>
    <row r="938">
      <c r="A938" t="inlineStr">
        <is>
          <t>OS-2436</t>
        </is>
      </c>
      <c r="B938" t="inlineStr">
        <is>
          <t>Infiltração na parede da casa de bombas P-38</t>
        </is>
      </c>
      <c r="C938" t="inlineStr">
        <is>
          <t>Mancha de umidade crescente na parede da casa de bombas P-38.</t>
        </is>
      </c>
      <c r="D938" t="inlineStr">
        <is>
          <t>Estação Elevatória Oeste</t>
        </is>
      </c>
      <c r="E938" t="inlineStr">
        <is>
          <t>Média</t>
        </is>
      </c>
      <c r="F938" t="inlineStr">
        <is>
          <t>Fernanda Quintela</t>
        </is>
      </c>
      <c r="G938" t="inlineStr">
        <is>
          <t>Fechada</t>
        </is>
      </c>
      <c r="H938" s="5" t="n">
        <v>45944.89236111111</v>
      </c>
    </row>
    <row r="939">
      <c r="A939" t="inlineStr">
        <is>
          <t>OS-2437</t>
        </is>
      </c>
      <c r="B939" t="inlineStr">
        <is>
          <t>Tomada sem energia na sala V-14</t>
        </is>
      </c>
      <c r="C939" t="inlineStr">
        <is>
          <t>Tomada de serviço da sala V-14 sem tensão.</t>
        </is>
      </c>
      <c r="D939" t="inlineStr">
        <is>
          <t>ETE Vale do Sol</t>
        </is>
      </c>
      <c r="E939" t="inlineStr">
        <is>
          <t>Média</t>
        </is>
      </c>
      <c r="F939" t="inlineStr">
        <is>
          <t>Daniela Pires</t>
        </is>
      </c>
      <c r="G939" t="inlineStr">
        <is>
          <t>Fechada</t>
        </is>
      </c>
      <c r="H939" s="5" t="n">
        <v>45945.17361111111</v>
      </c>
    </row>
    <row r="940">
      <c r="A940" t="inlineStr">
        <is>
          <t>OS-2438</t>
        </is>
      </c>
      <c r="B940" t="inlineStr">
        <is>
          <t>Disjuntor desarmando no painel M-10</t>
        </is>
      </c>
      <c r="C940" t="inlineStr">
        <is>
          <t>Disjuntor do painel M-10 desarmou três vezes no turno. Carga dentro do nominal.</t>
        </is>
      </c>
      <c r="D940" t="inlineStr">
        <is>
          <t>Estação Elevatória Oeste</t>
        </is>
      </c>
      <c r="E940" t="inlineStr">
        <is>
          <t>Baixa</t>
        </is>
      </c>
      <c r="F940" t="inlineStr">
        <is>
          <t>Vagner Pacheco</t>
        </is>
      </c>
      <c r="G940" t="inlineStr">
        <is>
          <t>Fechada</t>
        </is>
      </c>
      <c r="H940" s="5" t="n">
        <v>45945.49236111111</v>
      </c>
    </row>
    <row r="941">
      <c r="A941" t="inlineStr">
        <is>
          <t>OS-2439</t>
        </is>
      </c>
      <c r="B941" t="inlineStr">
        <is>
          <t>Disjuntor desarmando no painel F-16</t>
        </is>
      </c>
      <c r="C941" t="inlineStr">
        <is>
          <t>Disjuntor do painel F-16 desarmou três vezes no turno. Carga dentro do nominal.</t>
        </is>
      </c>
      <c r="D941" t="inlineStr">
        <is>
          <t>Base Operacional Litoral</t>
        </is>
      </c>
      <c r="E941" t="inlineStr">
        <is>
          <t>Média</t>
        </is>
      </c>
      <c r="F941" t="inlineStr">
        <is>
          <t>Ingrid Queiroz</t>
        </is>
      </c>
      <c r="G941" t="inlineStr">
        <is>
          <t>Fechada</t>
        </is>
      </c>
      <c r="H941" s="5" t="n">
        <v>45945.78125</v>
      </c>
    </row>
    <row r="942">
      <c r="A942" t="inlineStr">
        <is>
          <t>OS-2440</t>
        </is>
      </c>
      <c r="B942" t="inlineStr">
        <is>
          <t>Sensor de nível sem leitura no tanque H-16</t>
        </is>
      </c>
      <c r="C942" t="inlineStr">
        <is>
          <t>Supervisório mostra leitura congelada do sensor de nível do tanque H-16.</t>
        </is>
      </c>
      <c r="D942" t="inlineStr">
        <is>
          <t>Reservatório Alto da Colina</t>
        </is>
      </c>
      <c r="E942" t="inlineStr">
        <is>
          <t>Média</t>
        </is>
      </c>
      <c r="F942" t="inlineStr">
        <is>
          <t>Rafael Torres</t>
        </is>
      </c>
      <c r="G942" t="inlineStr">
        <is>
          <t>Fechada</t>
        </is>
      </c>
      <c r="H942" s="5" t="n">
        <v>45946.08055555556</v>
      </c>
    </row>
    <row r="943">
      <c r="A943" t="inlineStr">
        <is>
          <t>OS-2441</t>
        </is>
      </c>
      <c r="B943" t="inlineStr">
        <is>
          <t>Disjuntor desarmando no painel P-12</t>
        </is>
      </c>
      <c r="C943" t="inlineStr">
        <is>
          <t>Disjuntor do painel P-12 desarmou três vezes no turno. Carga dentro do nominal.</t>
        </is>
      </c>
      <c r="D943" t="inlineStr">
        <is>
          <t>Adutora Tronco Norte</t>
        </is>
      </c>
      <c r="E943" t="inlineStr">
        <is>
          <t>Média</t>
        </is>
      </c>
      <c r="F943" t="inlineStr">
        <is>
          <t>Caio Rangel</t>
        </is>
      </c>
      <c r="G943" t="inlineStr">
        <is>
          <t>Fechada</t>
        </is>
      </c>
      <c r="H943" s="5" t="n">
        <v>45946.39652777778</v>
      </c>
    </row>
    <row r="944">
      <c r="A944" t="inlineStr">
        <is>
          <t>OS-2442</t>
        </is>
      </c>
      <c r="B944" t="inlineStr">
        <is>
          <t>Calha entupida no prédio M-29</t>
        </is>
      </c>
      <c r="C944" t="inlineStr">
        <is>
          <t>Calha do prédio M-29 transbordando em dia de chuva.</t>
        </is>
      </c>
      <c r="D944" t="inlineStr">
        <is>
          <t>Sede Administrativa</t>
        </is>
      </c>
      <c r="E944" t="inlineStr">
        <is>
          <t>Alta</t>
        </is>
      </c>
      <c r="F944" t="inlineStr">
        <is>
          <t>Ingrid Queiroz</t>
        </is>
      </c>
      <c r="G944" t="inlineStr">
        <is>
          <t>Fechada</t>
        </is>
      </c>
      <c r="H944" s="5" t="n">
        <v>45946.72083333333</v>
      </c>
    </row>
    <row r="945">
      <c r="A945" t="inlineStr">
        <is>
          <t>OS-2443</t>
        </is>
      </c>
      <c r="B945" t="inlineStr">
        <is>
          <t>Válvula H-13 não fecha por completo</t>
        </is>
      </c>
      <c r="C945" t="inlineStr">
        <is>
          <t>Válvula H-13 com passagem residual mesmo totalmente fechada. Possível desgaste da sede.</t>
        </is>
      </c>
      <c r="D945" t="inlineStr">
        <is>
          <t>Oficina Elétrica Central</t>
        </is>
      </c>
      <c r="E945" t="inlineStr">
        <is>
          <t>Média</t>
        </is>
      </c>
      <c r="F945" t="inlineStr">
        <is>
          <t>Beatriz Farias</t>
        </is>
      </c>
      <c r="G945" t="inlineStr">
        <is>
          <t>Fechada</t>
        </is>
      </c>
      <c r="H945" s="5" t="n">
        <v>45947.01111111111</v>
      </c>
    </row>
    <row r="946">
      <c r="A946" t="inlineStr">
        <is>
          <t>OS-2444</t>
        </is>
      </c>
      <c r="B946" t="inlineStr">
        <is>
          <t>Troca de filtro do compressor R-32</t>
        </is>
      </c>
      <c r="C946" t="inlineStr">
        <is>
          <t>Filtro de ar do compressor R-32 saturado. Substituição preventiva.</t>
        </is>
      </c>
      <c r="D946" t="inlineStr">
        <is>
          <t>Estação Elevatória Oeste</t>
        </is>
      </c>
      <c r="E946" t="inlineStr">
        <is>
          <t>Média</t>
        </is>
      </c>
      <c r="F946" t="inlineStr">
        <is>
          <t>Heloísa Barreto</t>
        </is>
      </c>
      <c r="G946" t="inlineStr">
        <is>
          <t>Fechada</t>
        </is>
      </c>
      <c r="H946" s="5" t="n">
        <v>45947.32013888889</v>
      </c>
    </row>
    <row r="947">
      <c r="A947" t="inlineStr">
        <is>
          <t>OS-2445</t>
        </is>
      </c>
      <c r="B947" t="inlineStr">
        <is>
          <t>Infiltração na parede da casa de bombas E-34</t>
        </is>
      </c>
      <c r="C947" t="inlineStr">
        <is>
          <t>Mancha de umidade crescente na parede da casa de bombas E-34.</t>
        </is>
      </c>
      <c r="D947" t="inlineStr">
        <is>
          <t>Oficina Mecânica Central</t>
        </is>
      </c>
      <c r="E947" t="inlineStr">
        <is>
          <t>Média</t>
        </is>
      </c>
      <c r="F947" t="inlineStr">
        <is>
          <t>Igor Fonseca</t>
        </is>
      </c>
      <c r="G947" t="inlineStr">
        <is>
          <t>Fechada</t>
        </is>
      </c>
      <c r="H947" s="5" t="n">
        <v>45947.62430555555</v>
      </c>
    </row>
    <row r="948">
      <c r="A948" t="inlineStr">
        <is>
          <t>OS-2446</t>
        </is>
      </c>
      <c r="B948" t="inlineStr">
        <is>
          <t>Correia do ventilador P-22 desgastada</t>
        </is>
      </c>
      <c r="C948" t="inlineStr">
        <is>
          <t>Correia do ventilador P-22 com trincas visíveis e folga excessiva.</t>
        </is>
      </c>
      <c r="D948" t="inlineStr">
        <is>
          <t>Estação de Bombeamento Três Pontes</t>
        </is>
      </c>
      <c r="E948" t="inlineStr">
        <is>
          <t>Baixa</t>
        </is>
      </c>
      <c r="F948" t="inlineStr">
        <is>
          <t>Yara Medeiros</t>
        </is>
      </c>
      <c r="G948" t="inlineStr">
        <is>
          <t>Fechada</t>
        </is>
      </c>
      <c r="H948" s="5" t="n">
        <v>45947.92916666667</v>
      </c>
    </row>
    <row r="949">
      <c r="A949" t="inlineStr">
        <is>
          <t>OS-2447</t>
        </is>
      </c>
      <c r="B949" t="inlineStr">
        <is>
          <t>Sensor de nível sem leitura no tanque V-31</t>
        </is>
      </c>
      <c r="C949" t="inlineStr">
        <is>
          <t>Supervisório mostra leitura congelada do sensor de nível do tanque V-31.</t>
        </is>
      </c>
      <c r="D949" t="inlineStr">
        <is>
          <t>Laboratório de Controle</t>
        </is>
      </c>
      <c r="E949" t="inlineStr">
        <is>
          <t>Alta</t>
        </is>
      </c>
      <c r="F949" t="inlineStr">
        <is>
          <t>Yara Medeiros</t>
        </is>
      </c>
      <c r="G949" t="inlineStr">
        <is>
          <t>Fechada</t>
        </is>
      </c>
      <c r="H949" s="5" t="n">
        <v>45948.24166666667</v>
      </c>
    </row>
    <row r="950">
      <c r="A950" t="inlineStr">
        <is>
          <t>OS-2448</t>
        </is>
      </c>
      <c r="B950" t="inlineStr">
        <is>
          <t>Aquecimento no mancal do motor M-16</t>
        </is>
      </c>
      <c r="C950" t="inlineStr">
        <is>
          <t>Mancal do motor M-16 acima da temperatura usual na medição com termômetro infravermelho.</t>
        </is>
      </c>
      <c r="D950" t="inlineStr">
        <is>
          <t>Adutora Tronco Norte</t>
        </is>
      </c>
      <c r="E950" t="inlineStr">
        <is>
          <t>Média</t>
        </is>
      </c>
      <c r="F950" t="inlineStr">
        <is>
          <t>Murilo Paiva</t>
        </is>
      </c>
      <c r="G950" t="inlineStr">
        <is>
          <t>Fechada</t>
        </is>
      </c>
      <c r="H950" s="5" t="n">
        <v>45948.52986111111</v>
      </c>
    </row>
    <row r="951">
      <c r="A951" t="inlineStr">
        <is>
          <t>OS-2449</t>
        </is>
      </c>
      <c r="B951" t="inlineStr">
        <is>
          <t>Troca de filtro do compressor V-05</t>
        </is>
      </c>
      <c r="C951" t="inlineStr">
        <is>
          <t>Filtro de ar do compressor V-05 saturado. Substituição preventiva.</t>
        </is>
      </c>
      <c r="D951" t="inlineStr">
        <is>
          <t>Almoxarifado Central</t>
        </is>
      </c>
      <c r="E951" t="inlineStr">
        <is>
          <t>Média</t>
        </is>
      </c>
      <c r="F951" t="inlineStr">
        <is>
          <t>Úrsula Maia</t>
        </is>
      </c>
      <c r="G951" t="inlineStr">
        <is>
          <t>Fechada</t>
        </is>
      </c>
      <c r="H951" s="5" t="n">
        <v>45948.81805555556</v>
      </c>
    </row>
    <row r="952">
      <c r="A952" t="inlineStr">
        <is>
          <t>OS-2450</t>
        </is>
      </c>
      <c r="B952" t="inlineStr">
        <is>
          <t>Sensor de nível sem leitura no tanque A-06</t>
        </is>
      </c>
      <c r="C952" t="inlineStr">
        <is>
          <t>Supervisório mostra leitura congelada do sensor de nível do tanque A-06.</t>
        </is>
      </c>
      <c r="D952" t="inlineStr">
        <is>
          <t>ETE Rio Claro</t>
        </is>
      </c>
      <c r="E952" t="inlineStr">
        <is>
          <t>Média</t>
        </is>
      </c>
      <c r="F952" t="inlineStr">
        <is>
          <t>Jonas Teles</t>
        </is>
      </c>
      <c r="G952" t="inlineStr">
        <is>
          <t>Fechada</t>
        </is>
      </c>
      <c r="H952" s="5" t="n">
        <v>45949.12152777778</v>
      </c>
    </row>
    <row r="953">
      <c r="A953" t="inlineStr">
        <is>
          <t>OS-2451</t>
        </is>
      </c>
      <c r="B953" t="inlineStr">
        <is>
          <t>Aquecimento no mancal do motor P-22</t>
        </is>
      </c>
      <c r="C953" t="inlineStr">
        <is>
          <t>Mancal do motor P-22 acima da temperatura usual na medição com termômetro infravermelho.</t>
        </is>
      </c>
      <c r="D953" t="inlineStr">
        <is>
          <t>Estação Elevatória Porto</t>
        </is>
      </c>
      <c r="E953" t="inlineStr">
        <is>
          <t>Média</t>
        </is>
      </c>
      <c r="F953" t="inlineStr">
        <is>
          <t>Lívia Montenegro</t>
        </is>
      </c>
      <c r="G953" t="inlineStr">
        <is>
          <t>Fechada</t>
        </is>
      </c>
      <c r="H953" s="5" t="n">
        <v>45949.43055555555</v>
      </c>
    </row>
    <row r="954">
      <c r="A954" t="inlineStr">
        <is>
          <t>OS-2452</t>
        </is>
      </c>
      <c r="B954" t="inlineStr">
        <is>
          <t>Falha de comunicação no CLP R-10</t>
        </is>
      </c>
      <c r="C954" t="inlineStr">
        <is>
          <t>CLP R-10 perde comunicação com o supervisório em intervalos irregulares.</t>
        </is>
      </c>
      <c r="D954" t="inlineStr">
        <is>
          <t>ETE Jardim Bela Vista</t>
        </is>
      </c>
      <c r="E954" t="inlineStr">
        <is>
          <t>Média</t>
        </is>
      </c>
      <c r="F954" t="inlineStr">
        <is>
          <t>Wesley Cardoso</t>
        </is>
      </c>
      <c r="G954" t="inlineStr">
        <is>
          <t>Fechada</t>
        </is>
      </c>
      <c r="H954" s="5" t="n">
        <v>45949.73888888889</v>
      </c>
    </row>
    <row r="955">
      <c r="A955" t="inlineStr">
        <is>
          <t>OS-2453</t>
        </is>
      </c>
      <c r="B955" t="inlineStr">
        <is>
          <t>Ruído anormal no motor V-36</t>
        </is>
      </c>
      <c r="C955" t="inlineStr">
        <is>
          <t>Ruído intermitente no motor V-36 durante a partida. Temperatura normal ao toque.</t>
        </is>
      </c>
      <c r="D955" t="inlineStr">
        <is>
          <t>Subestação Leste</t>
        </is>
      </c>
      <c r="E955" t="inlineStr">
        <is>
          <t>Baixa</t>
        </is>
      </c>
      <c r="F955" t="inlineStr">
        <is>
          <t>Marcos Vinícius Rocha</t>
        </is>
      </c>
      <c r="G955" t="inlineStr">
        <is>
          <t>Fechada</t>
        </is>
      </c>
      <c r="H955" s="5" t="n">
        <v>45950.07847222222</v>
      </c>
    </row>
    <row r="956">
      <c r="A956" t="inlineStr">
        <is>
          <t>OS-2454</t>
        </is>
      </c>
      <c r="B956" t="inlineStr">
        <is>
          <t>Aquecimento no mancal do motor C-16</t>
        </is>
      </c>
      <c r="C956" t="inlineStr">
        <is>
          <t>Mancal do motor C-16 acima da temperatura usual na medição com termômetro infravermelho.</t>
        </is>
      </c>
      <c r="D956" t="inlineStr">
        <is>
          <t>Almoxarifado Central</t>
        </is>
      </c>
      <c r="E956" t="inlineStr">
        <is>
          <t>Baixa</t>
        </is>
      </c>
      <c r="F956" t="inlineStr">
        <is>
          <t>Juliana Aguiar</t>
        </is>
      </c>
      <c r="G956" t="inlineStr">
        <is>
          <t>Fechada</t>
        </is>
      </c>
      <c r="H956" s="5" t="n">
        <v>45950.36041666667</v>
      </c>
    </row>
    <row r="957">
      <c r="A957" t="inlineStr">
        <is>
          <t>OS-2455</t>
        </is>
      </c>
      <c r="B957" t="inlineStr">
        <is>
          <t>Aquecimento no mancal do motor P-30</t>
        </is>
      </c>
      <c r="C957" t="inlineStr">
        <is>
          <t>Mancal do motor P-30 acima da temperatura usual na medição com termômetro infravermelho.</t>
        </is>
      </c>
      <c r="D957" t="inlineStr">
        <is>
          <t>Subestação Leste</t>
        </is>
      </c>
      <c r="E957" t="inlineStr">
        <is>
          <t>Baixa</t>
        </is>
      </c>
      <c r="F957" t="inlineStr">
        <is>
          <t>Marcos Vinícius Rocha</t>
        </is>
      </c>
      <c r="G957" t="inlineStr">
        <is>
          <t>Fechada</t>
        </is>
      </c>
      <c r="H957" s="5" t="n">
        <v>45950.65763888889</v>
      </c>
    </row>
    <row r="958">
      <c r="A958" t="inlineStr">
        <is>
          <t>OS-2456</t>
        </is>
      </c>
      <c r="B958" t="inlineStr">
        <is>
          <t>Lâmpada queimada na área E-16</t>
        </is>
      </c>
      <c r="C958" t="inlineStr">
        <is>
          <t>Iluminação da área E-16 sem funcionar. Reposição de lâmpada e conferência do reator.</t>
        </is>
      </c>
      <c r="D958" t="inlineStr">
        <is>
          <t>Base Operacional Norte</t>
        </is>
      </c>
      <c r="E958" t="inlineStr">
        <is>
          <t>Média</t>
        </is>
      </c>
      <c r="F958" t="inlineStr">
        <is>
          <t>Vagner Pacheco</t>
        </is>
      </c>
      <c r="G958" t="inlineStr">
        <is>
          <t>Fechada</t>
        </is>
      </c>
      <c r="H958" s="5" t="n">
        <v>45950.97083333333</v>
      </c>
    </row>
    <row r="959">
      <c r="A959" t="inlineStr">
        <is>
          <t>OS-2457</t>
        </is>
      </c>
      <c r="B959" t="inlineStr">
        <is>
          <t>Tomada sem energia na sala A-11</t>
        </is>
      </c>
      <c r="C959" t="inlineStr">
        <is>
          <t>Tomada de serviço da sala A-11 sem tensão.</t>
        </is>
      </c>
      <c r="D959" t="inlineStr">
        <is>
          <t>Torre de Telecomunicação Morro Alto</t>
        </is>
      </c>
      <c r="E959" t="inlineStr">
        <is>
          <t>Alta</t>
        </is>
      </c>
      <c r="F959" t="inlineStr">
        <is>
          <t>Aline Rocha</t>
        </is>
      </c>
      <c r="G959" t="inlineStr">
        <is>
          <t>Fechada</t>
        </is>
      </c>
      <c r="H959" s="5" t="n">
        <v>45951.26527777778</v>
      </c>
    </row>
    <row r="960">
      <c r="A960" t="inlineStr">
        <is>
          <t>OS-2458</t>
        </is>
      </c>
      <c r="B960" t="inlineStr">
        <is>
          <t>Pintura descascada na estrutura A-30</t>
        </is>
      </c>
      <c r="C960" t="inlineStr">
        <is>
          <t>Estrutura metálica A-30 com pontos de corrosão sob a pintura.</t>
        </is>
      </c>
      <c r="D960" t="inlineStr">
        <is>
          <t>Adutora Tronco Norte</t>
        </is>
      </c>
      <c r="E960" t="inlineStr">
        <is>
          <t>Crítica</t>
        </is>
      </c>
      <c r="F960" t="inlineStr">
        <is>
          <t>Priscila Guedes</t>
        </is>
      </c>
      <c r="G960" t="inlineStr">
        <is>
          <t>Fechada</t>
        </is>
      </c>
      <c r="H960" s="5" t="n">
        <v>45951.60416666666</v>
      </c>
    </row>
    <row r="961">
      <c r="A961" t="inlineStr">
        <is>
          <t>OS-2459</t>
        </is>
      </c>
      <c r="B961" t="inlineStr">
        <is>
          <t>Portão da área A-05 emperrado</t>
        </is>
      </c>
      <c r="C961" t="inlineStr">
        <is>
          <t>Portão de acesso da área A-05 exige força excessiva para abrir.</t>
        </is>
      </c>
      <c r="D961" t="inlineStr">
        <is>
          <t>Pátio de Veículos</t>
        </is>
      </c>
      <c r="E961" t="inlineStr">
        <is>
          <t>Baixa</t>
        </is>
      </c>
      <c r="F961" t="inlineStr">
        <is>
          <t>Daniela Pires</t>
        </is>
      </c>
      <c r="G961" t="inlineStr">
        <is>
          <t>Fechada</t>
        </is>
      </c>
      <c r="H961" s="5" t="n">
        <v>45951.89236111111</v>
      </c>
    </row>
    <row r="962">
      <c r="A962" t="inlineStr">
        <is>
          <t>OS-2460</t>
        </is>
      </c>
      <c r="B962" t="inlineStr">
        <is>
          <t>Correia do ventilador A-37 desgastada</t>
        </is>
      </c>
      <c r="C962" t="inlineStr">
        <is>
          <t>Correia do ventilador A-37 com trincas visíveis e folga excessiva.</t>
        </is>
      </c>
      <c r="D962" t="inlineStr">
        <is>
          <t>Oficina Mecânica Central</t>
        </is>
      </c>
      <c r="E962" t="inlineStr">
        <is>
          <t>Alta</t>
        </is>
      </c>
      <c r="F962" t="inlineStr">
        <is>
          <t>Wesley Cardoso</t>
        </is>
      </c>
      <c r="G962" t="inlineStr">
        <is>
          <t>Fechada</t>
        </is>
      </c>
      <c r="H962" s="5" t="n">
        <v>45952.19027777778</v>
      </c>
    </row>
    <row r="963">
      <c r="A963" t="inlineStr">
        <is>
          <t>OS-2461</t>
        </is>
      </c>
      <c r="B963" t="inlineStr">
        <is>
          <t>Falha de comunicação no CLP H-12</t>
        </is>
      </c>
      <c r="C963" t="inlineStr">
        <is>
          <t>CLP H-12 perde comunicação com o supervisório em intervalos irregulares.</t>
        </is>
      </c>
      <c r="D963" t="inlineStr">
        <is>
          <t>Usina Fotovoltaica Cerrado</t>
        </is>
      </c>
      <c r="E963" t="inlineStr">
        <is>
          <t>Baixa</t>
        </is>
      </c>
      <c r="F963" t="inlineStr">
        <is>
          <t>Lívia Montenegro</t>
        </is>
      </c>
      <c r="G963" t="inlineStr">
        <is>
          <t>Fechada</t>
        </is>
      </c>
      <c r="H963" s="5" t="n">
        <v>45952.48541666667</v>
      </c>
    </row>
    <row r="964">
      <c r="A964" t="inlineStr">
        <is>
          <t>OS-2462</t>
        </is>
      </c>
      <c r="B964" t="inlineStr">
        <is>
          <t>Portão da área E-13 emperrado</t>
        </is>
      </c>
      <c r="C964" t="inlineStr">
        <is>
          <t>Portão de acesso da área E-13 exige força excessiva para abrir.</t>
        </is>
      </c>
      <c r="D964" t="inlineStr">
        <is>
          <t>Subestação Oeste</t>
        </is>
      </c>
      <c r="E964" t="inlineStr">
        <is>
          <t>Média</t>
        </is>
      </c>
      <c r="F964" t="inlineStr">
        <is>
          <t>Hugo Albuquerque</t>
        </is>
      </c>
      <c r="G964" t="inlineStr">
        <is>
          <t>Fechada</t>
        </is>
      </c>
      <c r="H964" s="5" t="n">
        <v>45952.79166666666</v>
      </c>
    </row>
    <row r="965">
      <c r="A965" t="inlineStr">
        <is>
          <t>OS-2463</t>
        </is>
      </c>
      <c r="B965" t="inlineStr">
        <is>
          <t>Exaustor M-16 parado</t>
        </is>
      </c>
      <c r="C965" t="inlineStr">
        <is>
          <t>Exaustor M-16 não parte. Fusível íntegro.</t>
        </is>
      </c>
      <c r="D965" t="inlineStr">
        <is>
          <t>Usina Fotovoltaica Cerrado</t>
        </is>
      </c>
      <c r="E965" t="inlineStr">
        <is>
          <t>Média</t>
        </is>
      </c>
      <c r="F965" t="inlineStr">
        <is>
          <t>Yara Medeiros</t>
        </is>
      </c>
      <c r="G965" t="inlineStr">
        <is>
          <t>Fechada</t>
        </is>
      </c>
      <c r="H965" s="5" t="n">
        <v>45953.11597222222</v>
      </c>
    </row>
    <row r="966">
      <c r="A966" t="inlineStr">
        <is>
          <t>OS-2464</t>
        </is>
      </c>
      <c r="B966" t="inlineStr">
        <is>
          <t>Exaustor C-17 parado</t>
        </is>
      </c>
      <c r="C966" t="inlineStr">
        <is>
          <t>Exaustor C-17 não parte. Fusível íntegro.</t>
        </is>
      </c>
      <c r="D966" t="inlineStr">
        <is>
          <t>ETE Jardim Bela Vista</t>
        </is>
      </c>
      <c r="E966" t="inlineStr">
        <is>
          <t>Baixa</t>
        </is>
      </c>
      <c r="F966" t="inlineStr">
        <is>
          <t>Yara Medeiros</t>
        </is>
      </c>
      <c r="G966" t="inlineStr">
        <is>
          <t>Fechada</t>
        </is>
      </c>
      <c r="H966" s="5" t="n">
        <v>45953.39305555556</v>
      </c>
    </row>
    <row r="967">
      <c r="A967" t="inlineStr">
        <is>
          <t>OS-2465</t>
        </is>
      </c>
      <c r="B967" t="inlineStr">
        <is>
          <t>Vazamento de óleo no redutor V-14</t>
        </is>
      </c>
      <c r="C967" t="inlineStr">
        <is>
          <t>Gotejamento de óleo no redutor V-14. Nível ainda dentro da faixa.</t>
        </is>
      </c>
      <c r="D967" t="inlineStr">
        <is>
          <t>Base Operacional Litoral</t>
        </is>
      </c>
      <c r="E967" t="inlineStr">
        <is>
          <t>Média</t>
        </is>
      </c>
      <c r="F967" t="inlineStr">
        <is>
          <t>Érica Andrade</t>
        </is>
      </c>
      <c r="G967" t="inlineStr">
        <is>
          <t>Fechada</t>
        </is>
      </c>
      <c r="H967" s="5" t="n">
        <v>45953.71805555555</v>
      </c>
    </row>
    <row r="968">
      <c r="A968" t="inlineStr">
        <is>
          <t>OS-2466</t>
        </is>
      </c>
      <c r="B968" t="inlineStr">
        <is>
          <t>Válvula T-35 não fecha por completo</t>
        </is>
      </c>
      <c r="C968" t="inlineStr">
        <is>
          <t>Válvula T-35 com passagem residual mesmo totalmente fechada. Possível desgaste da sede.</t>
        </is>
      </c>
      <c r="D968" t="inlineStr">
        <is>
          <t>Estação de Bombeamento Vila Nova</t>
        </is>
      </c>
      <c r="E968" t="inlineStr">
        <is>
          <t>Baixa</t>
        </is>
      </c>
      <c r="F968" t="inlineStr">
        <is>
          <t>Eduardo Salles</t>
        </is>
      </c>
      <c r="G968" t="inlineStr">
        <is>
          <t>Fechada</t>
        </is>
      </c>
      <c r="H968" s="5" t="n">
        <v>45954.04513888889</v>
      </c>
    </row>
    <row r="969">
      <c r="A969" t="inlineStr">
        <is>
          <t>OS-2467</t>
        </is>
      </c>
      <c r="B969" t="inlineStr">
        <is>
          <t>Válvula P-10 não fecha por completo</t>
        </is>
      </c>
      <c r="C969" t="inlineStr">
        <is>
          <t>Válvula P-10 com passagem residual mesmo totalmente fechada. Possível desgaste da sede.</t>
        </is>
      </c>
      <c r="D969" t="inlineStr">
        <is>
          <t>Estação Elevatória Oeste</t>
        </is>
      </c>
      <c r="E969" t="inlineStr">
        <is>
          <t>Baixa</t>
        </is>
      </c>
      <c r="F969" t="inlineStr">
        <is>
          <t>Otávio Lacerda</t>
        </is>
      </c>
      <c r="G969" t="inlineStr">
        <is>
          <t>Fechada</t>
        </is>
      </c>
      <c r="H969" s="5" t="n">
        <v>45954.32013888889</v>
      </c>
    </row>
    <row r="970">
      <c r="A970" t="inlineStr">
        <is>
          <t>OS-2468</t>
        </is>
      </c>
      <c r="B970" t="inlineStr">
        <is>
          <t>Calha entupida no prédio T-27</t>
        </is>
      </c>
      <c r="C970" t="inlineStr">
        <is>
          <t>Calha do prédio T-27 transbordando em dia de chuva.</t>
        </is>
      </c>
      <c r="D970" t="inlineStr">
        <is>
          <t>Oficina Mecânica Central</t>
        </is>
      </c>
      <c r="E970" t="inlineStr">
        <is>
          <t>Baixa</t>
        </is>
      </c>
      <c r="F970" t="inlineStr">
        <is>
          <t>Kleber Antunes</t>
        </is>
      </c>
      <c r="G970" t="inlineStr">
        <is>
          <t>Fechada</t>
        </is>
      </c>
      <c r="H970" s="5" t="n">
        <v>45954.65416666667</v>
      </c>
    </row>
    <row r="971">
      <c r="A971" t="inlineStr">
        <is>
          <t>OS-2469</t>
        </is>
      </c>
      <c r="B971" t="inlineStr">
        <is>
          <t>Medidor de vazão H-12 com leitura instável</t>
        </is>
      </c>
      <c r="C971" t="inlineStr">
        <is>
          <t>Medidor de vazão H-12 oscila sem variação de processo.</t>
        </is>
      </c>
      <c r="D971" t="inlineStr">
        <is>
          <t>ETE Rio Claro</t>
        </is>
      </c>
      <c r="E971" t="inlineStr">
        <is>
          <t>Baixa</t>
        </is>
      </c>
      <c r="F971" t="inlineStr">
        <is>
          <t>Thiago Bastos</t>
        </is>
      </c>
      <c r="G971" t="inlineStr">
        <is>
          <t>Fechada</t>
        </is>
      </c>
      <c r="H971" s="5" t="n">
        <v>45954.95555555556</v>
      </c>
    </row>
    <row r="972">
      <c r="A972" t="inlineStr">
        <is>
          <t>OS-2470</t>
        </is>
      </c>
      <c r="B972" t="inlineStr">
        <is>
          <t>Vazamento na bomba C-24</t>
        </is>
      </c>
      <c r="C972" t="inlineStr">
        <is>
          <t>Vazamento pelo selo mecânico da bomba C-24. Piso molhado ao redor da base.</t>
        </is>
      </c>
      <c r="D972" t="inlineStr">
        <is>
          <t>Estação Elevatória Oeste</t>
        </is>
      </c>
      <c r="E972" t="inlineStr">
        <is>
          <t>Baixa</t>
        </is>
      </c>
      <c r="F972" t="inlineStr">
        <is>
          <t>Larissa Bezerra</t>
        </is>
      </c>
      <c r="G972" t="inlineStr">
        <is>
          <t>Fechada</t>
        </is>
      </c>
      <c r="H972" s="5" t="n">
        <v>45955.23958333334</v>
      </c>
    </row>
    <row r="973">
      <c r="A973" t="inlineStr">
        <is>
          <t>OS-2471</t>
        </is>
      </c>
      <c r="B973" t="inlineStr">
        <is>
          <t>Correia do ventilador A-28 desgastada</t>
        </is>
      </c>
      <c r="C973" t="inlineStr">
        <is>
          <t>Correia do ventilador A-28 com trincas visíveis e folga excessiva.</t>
        </is>
      </c>
      <c r="D973" t="inlineStr">
        <is>
          <t>Centro de Operações</t>
        </is>
      </c>
      <c r="E973" t="inlineStr">
        <is>
          <t>Alta</t>
        </is>
      </c>
      <c r="F973" t="inlineStr">
        <is>
          <t>Daniela Pires</t>
        </is>
      </c>
      <c r="G973" t="inlineStr">
        <is>
          <t>Fechada</t>
        </is>
      </c>
      <c r="H973" s="5" t="n">
        <v>45955.56180555555</v>
      </c>
    </row>
    <row r="974">
      <c r="A974" t="inlineStr">
        <is>
          <t>OS-2472</t>
        </is>
      </c>
      <c r="B974" t="inlineStr">
        <is>
          <t>Correia do ventilador P-14 desgastada</t>
        </is>
      </c>
      <c r="C974" t="inlineStr">
        <is>
          <t>Correia do ventilador P-14 com trincas visíveis e folga excessiva.</t>
        </is>
      </c>
      <c r="D974" t="inlineStr">
        <is>
          <t>Sede Administrativa</t>
        </is>
      </c>
      <c r="E974" t="inlineStr">
        <is>
          <t>Média</t>
        </is>
      </c>
      <c r="F974" t="inlineStr">
        <is>
          <t>Murilo Paiva</t>
        </is>
      </c>
      <c r="G974" t="inlineStr">
        <is>
          <t>Fechada</t>
        </is>
      </c>
      <c r="H974" s="5" t="n">
        <v>45955.86597222222</v>
      </c>
    </row>
    <row r="975">
      <c r="A975" t="inlineStr">
        <is>
          <t>OS-2473</t>
        </is>
      </c>
      <c r="B975" t="inlineStr">
        <is>
          <t>Vazamento na bomba V-04</t>
        </is>
      </c>
      <c r="C975" t="inlineStr">
        <is>
          <t>Vazamento pelo selo mecânico da bomba V-04. Piso molhado ao redor da base.</t>
        </is>
      </c>
      <c r="D975" t="inlineStr">
        <is>
          <t>Oficina Elétrica Central</t>
        </is>
      </c>
      <c r="E975" t="inlineStr">
        <is>
          <t>Média</t>
        </is>
      </c>
      <c r="F975" t="inlineStr">
        <is>
          <t>Daniela Pires</t>
        </is>
      </c>
      <c r="G975" t="inlineStr">
        <is>
          <t>Fechada</t>
        </is>
      </c>
      <c r="H975" s="5" t="n">
        <v>45956.16666666666</v>
      </c>
    </row>
    <row r="976">
      <c r="A976" t="inlineStr">
        <is>
          <t>OS-2474</t>
        </is>
      </c>
      <c r="B976" t="inlineStr">
        <is>
          <t>Lâmpada queimada na área A-13</t>
        </is>
      </c>
      <c r="C976" t="inlineStr">
        <is>
          <t>Iluminação da área A-13 sem funcionar. Reposição de lâmpada e conferência do reator.</t>
        </is>
      </c>
      <c r="D976" t="inlineStr">
        <is>
          <t>Adutora Tronco Sul</t>
        </is>
      </c>
      <c r="E976" t="inlineStr">
        <is>
          <t>Alta</t>
        </is>
      </c>
      <c r="F976" t="inlineStr">
        <is>
          <t>Úrsula Maia</t>
        </is>
      </c>
      <c r="G976" t="inlineStr">
        <is>
          <t>Fechada</t>
        </is>
      </c>
      <c r="H976" s="5" t="n">
        <v>45956.45277777778</v>
      </c>
    </row>
    <row r="977">
      <c r="A977" t="inlineStr">
        <is>
          <t>OS-2475</t>
        </is>
      </c>
      <c r="B977" t="inlineStr">
        <is>
          <t>Sensor de nível sem leitura no tanque C-38</t>
        </is>
      </c>
      <c r="C977" t="inlineStr">
        <is>
          <t>Supervisório mostra leitura congelada do sensor de nível do tanque C-38.</t>
        </is>
      </c>
      <c r="D977" t="inlineStr">
        <is>
          <t>Centro de Operações</t>
        </is>
      </c>
      <c r="E977" t="inlineStr">
        <is>
          <t>Média</t>
        </is>
      </c>
      <c r="F977" t="inlineStr">
        <is>
          <t>Beatriz Farias</t>
        </is>
      </c>
      <c r="G977" t="inlineStr">
        <is>
          <t>Fechada</t>
        </is>
      </c>
      <c r="H977" s="5" t="n">
        <v>45956.78333333333</v>
      </c>
    </row>
    <row r="978">
      <c r="A978" t="inlineStr">
        <is>
          <t>OS-2476</t>
        </is>
      </c>
      <c r="B978" t="inlineStr">
        <is>
          <t>Falha de comunicação no CLP M-16</t>
        </is>
      </c>
      <c r="C978" t="inlineStr">
        <is>
          <t>CLP M-16 perde comunicação com o supervisório em intervalos irregulares.</t>
        </is>
      </c>
      <c r="D978" t="inlineStr">
        <is>
          <t>Booster Parque das Águas</t>
        </is>
      </c>
      <c r="E978" t="inlineStr">
        <is>
          <t>Baixa</t>
        </is>
      </c>
      <c r="F978" t="inlineStr">
        <is>
          <t>Aline Rocha</t>
        </is>
      </c>
      <c r="G978" t="inlineStr">
        <is>
          <t>Fechada</t>
        </is>
      </c>
      <c r="H978" s="5" t="n">
        <v>45957.06666666667</v>
      </c>
    </row>
    <row r="979">
      <c r="A979" t="inlineStr">
        <is>
          <t>OS-2477</t>
        </is>
      </c>
      <c r="B979" t="inlineStr">
        <is>
          <t>Portão da área E-34 emperrado</t>
        </is>
      </c>
      <c r="C979" t="inlineStr">
        <is>
          <t>Portão de acesso da área E-34 exige força excessiva para abrir.</t>
        </is>
      </c>
      <c r="D979" t="inlineStr">
        <is>
          <t>Base Operacional Sul</t>
        </is>
      </c>
      <c r="E979" t="inlineStr">
        <is>
          <t>Média</t>
        </is>
      </c>
      <c r="F979" t="inlineStr">
        <is>
          <t>Cíntia Freitas</t>
        </is>
      </c>
      <c r="G979" t="inlineStr">
        <is>
          <t>Fechada</t>
        </is>
      </c>
      <c r="H979" s="5" t="n">
        <v>45957.3625</v>
      </c>
    </row>
    <row r="980">
      <c r="A980" t="inlineStr">
        <is>
          <t>OS-2478</t>
        </is>
      </c>
      <c r="B980" t="inlineStr">
        <is>
          <t>Falha de comunicação no CLP C-24</t>
        </is>
      </c>
      <c r="C980" t="inlineStr">
        <is>
          <t>CLP C-24 perde comunicação com o supervisório em intervalos irregulares.</t>
        </is>
      </c>
      <c r="D980" t="inlineStr">
        <is>
          <t>Oficina Mecânica Central</t>
        </is>
      </c>
      <c r="E980" t="inlineStr">
        <is>
          <t>Baixa</t>
        </is>
      </c>
      <c r="F980" t="inlineStr">
        <is>
          <t>Gabriel Matos</t>
        </is>
      </c>
      <c r="G980" t="inlineStr">
        <is>
          <t>Fechada</t>
        </is>
      </c>
      <c r="H980" s="5" t="n">
        <v>45957.70486111111</v>
      </c>
    </row>
    <row r="981">
      <c r="A981" t="inlineStr">
        <is>
          <t>OS-2479</t>
        </is>
      </c>
      <c r="B981" t="inlineStr">
        <is>
          <t>Vazamento na bomba C-23</t>
        </is>
      </c>
      <c r="C981" t="inlineStr">
        <is>
          <t>Vazamento pelo selo mecânico da bomba C-23. Piso molhado ao redor da base.</t>
        </is>
      </c>
      <c r="D981" t="inlineStr">
        <is>
          <t>Adutora Tronco Norte</t>
        </is>
      </c>
      <c r="E981" t="inlineStr">
        <is>
          <t>Baixa</t>
        </is>
      </c>
      <c r="F981" t="inlineStr">
        <is>
          <t>Eduardo Salles</t>
        </is>
      </c>
      <c r="G981" t="inlineStr">
        <is>
          <t>Fechada</t>
        </is>
      </c>
      <c r="H981" s="5" t="n">
        <v>45957.97430555556</v>
      </c>
    </row>
    <row r="982">
      <c r="A982" t="inlineStr">
        <is>
          <t>OS-2480</t>
        </is>
      </c>
      <c r="B982" t="inlineStr">
        <is>
          <t>Medidor de vazão T-15 com leitura instável</t>
        </is>
      </c>
      <c r="C982" t="inlineStr">
        <is>
          <t>Medidor de vazão T-15 oscila sem variação de processo.</t>
        </is>
      </c>
      <c r="D982" t="inlineStr">
        <is>
          <t>Oficina Mecânica Central</t>
        </is>
      </c>
      <c r="E982" t="inlineStr">
        <is>
          <t>Crítica</t>
        </is>
      </c>
      <c r="F982" t="inlineStr">
        <is>
          <t>Caio Rangel</t>
        </is>
      </c>
      <c r="G982" t="inlineStr">
        <is>
          <t>Fechada</t>
        </is>
      </c>
      <c r="H982" s="5" t="n">
        <v>45958.29444444444</v>
      </c>
    </row>
    <row r="983">
      <c r="A983" t="inlineStr">
        <is>
          <t>OS-2481</t>
        </is>
      </c>
      <c r="B983" t="inlineStr">
        <is>
          <t>Correia do ventilador R-22 desgastada</t>
        </is>
      </c>
      <c r="C983" t="inlineStr">
        <is>
          <t>Correia do ventilador R-22 com trincas visíveis e folga excessiva.</t>
        </is>
      </c>
      <c r="D983" t="inlineStr">
        <is>
          <t>Almoxarifado Central</t>
        </is>
      </c>
      <c r="E983" t="inlineStr">
        <is>
          <t>Alta</t>
        </is>
      </c>
      <c r="F983" t="inlineStr">
        <is>
          <t>Daniela Pires</t>
        </is>
      </c>
      <c r="G983" t="inlineStr">
        <is>
          <t>Fechada</t>
        </is>
      </c>
      <c r="H983" s="5" t="n">
        <v>45958.61111111111</v>
      </c>
    </row>
    <row r="984">
      <c r="A984" t="inlineStr">
        <is>
          <t>OS-2482</t>
        </is>
      </c>
      <c r="B984" t="inlineStr">
        <is>
          <t>Medidor de vazão E-08 com leitura instável</t>
        </is>
      </c>
      <c r="C984" t="inlineStr">
        <is>
          <t>Medidor de vazão E-08 oscila sem variação de processo.</t>
        </is>
      </c>
      <c r="D984" t="inlineStr">
        <is>
          <t>Pátio de Veículos</t>
        </is>
      </c>
      <c r="E984" t="inlineStr">
        <is>
          <t>Média</t>
        </is>
      </c>
      <c r="F984" t="inlineStr">
        <is>
          <t>Larissa Bezerra</t>
        </is>
      </c>
      <c r="G984" t="inlineStr">
        <is>
          <t>Fechada</t>
        </is>
      </c>
      <c r="H984" s="5" t="n">
        <v>45958.90416666667</v>
      </c>
    </row>
    <row r="985">
      <c r="A985" t="inlineStr">
        <is>
          <t>OS-2483</t>
        </is>
      </c>
      <c r="B985" t="inlineStr">
        <is>
          <t>Vazamento de óleo no redutor A-04</t>
        </is>
      </c>
      <c r="C985" t="inlineStr">
        <is>
          <t>Gotejamento de óleo no redutor A-04. Nível ainda dentro da faixa.</t>
        </is>
      </c>
      <c r="D985" t="inlineStr">
        <is>
          <t>Estação Elevatória Leste</t>
        </is>
      </c>
      <c r="E985" t="inlineStr">
        <is>
          <t>Baixa</t>
        </is>
      </c>
      <c r="F985" t="inlineStr">
        <is>
          <t>Bernardo Leal</t>
        </is>
      </c>
      <c r="G985" t="inlineStr">
        <is>
          <t>Fechada</t>
        </is>
      </c>
      <c r="H985" s="5" t="n">
        <v>45959.20138888889</v>
      </c>
    </row>
    <row r="986">
      <c r="A986" t="inlineStr">
        <is>
          <t>OS-2484</t>
        </is>
      </c>
      <c r="B986" t="inlineStr">
        <is>
          <t>Aquecimento no mancal do motor F-02</t>
        </is>
      </c>
      <c r="C986" t="inlineStr">
        <is>
          <t>Mancal do motor F-02 acima da temperatura usual na medição com termômetro infravermelho.</t>
        </is>
      </c>
      <c r="D986" t="inlineStr">
        <is>
          <t>ETA Serra Azul</t>
        </is>
      </c>
      <c r="E986" t="inlineStr">
        <is>
          <t>Média</t>
        </is>
      </c>
      <c r="F986" t="inlineStr">
        <is>
          <t>Daniela Pires</t>
        </is>
      </c>
      <c r="G986" t="inlineStr">
        <is>
          <t>Fechada</t>
        </is>
      </c>
      <c r="H986" s="5" t="n">
        <v>45959.49583333333</v>
      </c>
    </row>
    <row r="987">
      <c r="A987" t="inlineStr">
        <is>
          <t>OS-2485</t>
        </is>
      </c>
      <c r="B987" t="inlineStr">
        <is>
          <t>Ruído anormal no motor D-02</t>
        </is>
      </c>
      <c r="C987" t="inlineStr">
        <is>
          <t>Ruído intermitente no motor D-02 durante a partida. Temperatura normal ao toque.</t>
        </is>
      </c>
      <c r="D987" t="inlineStr">
        <is>
          <t>Oficina Elétrica Central</t>
        </is>
      </c>
      <c r="E987" t="inlineStr">
        <is>
          <t>Alta</t>
        </is>
      </c>
      <c r="F987" t="inlineStr">
        <is>
          <t>Vagner Pacheco</t>
        </is>
      </c>
      <c r="G987" t="inlineStr">
        <is>
          <t>Fechada</t>
        </is>
      </c>
      <c r="H987" s="5" t="n">
        <v>45959.80833333333</v>
      </c>
    </row>
    <row r="988">
      <c r="A988" t="inlineStr">
        <is>
          <t>OS-2486</t>
        </is>
      </c>
      <c r="B988" t="inlineStr">
        <is>
          <t>Tomada sem energia na sala G-13</t>
        </is>
      </c>
      <c r="C988" t="inlineStr">
        <is>
          <t>Tomada de serviço da sala G-13 sem tensão.</t>
        </is>
      </c>
      <c r="D988" t="inlineStr">
        <is>
          <t>Captação Lagoa Seca</t>
        </is>
      </c>
      <c r="E988" t="inlineStr">
        <is>
          <t>Alta</t>
        </is>
      </c>
      <c r="F988" t="inlineStr">
        <is>
          <t>Fernanda Quintela</t>
        </is>
      </c>
      <c r="G988" t="inlineStr">
        <is>
          <t>Fechada</t>
        </is>
      </c>
      <c r="H988" s="5" t="n">
        <v>45960.13194444445</v>
      </c>
    </row>
    <row r="989">
      <c r="A989" t="inlineStr">
        <is>
          <t>OS-2487</t>
        </is>
      </c>
      <c r="B989" t="inlineStr">
        <is>
          <t>Disjuntor desarmando no painel R-28</t>
        </is>
      </c>
      <c r="C989" t="inlineStr">
        <is>
          <t>Disjuntor do painel R-28 desarmou três vezes no turno. Carga dentro do nominal.</t>
        </is>
      </c>
      <c r="D989" t="inlineStr">
        <is>
          <t>Torre de Telecomunicação Morro Alto</t>
        </is>
      </c>
      <c r="E989" t="inlineStr">
        <is>
          <t>Alta</t>
        </is>
      </c>
      <c r="F989" t="inlineStr">
        <is>
          <t>Eduardo Salles</t>
        </is>
      </c>
      <c r="G989" t="inlineStr">
        <is>
          <t>Fechada</t>
        </is>
      </c>
      <c r="H989" s="5" t="n">
        <v>45960.42847222222</v>
      </c>
    </row>
    <row r="990">
      <c r="A990" t="inlineStr">
        <is>
          <t>OS-2488</t>
        </is>
      </c>
      <c r="B990" t="inlineStr">
        <is>
          <t>Exaustor H-05 parado</t>
        </is>
      </c>
      <c r="C990" t="inlineStr">
        <is>
          <t>Exaustor H-05 não parte. Fusível íntegro.</t>
        </is>
      </c>
      <c r="D990" t="inlineStr">
        <is>
          <t>ETA Ribeirão Fundo</t>
        </is>
      </c>
      <c r="E990" t="inlineStr">
        <is>
          <t>Baixa</t>
        </is>
      </c>
      <c r="F990" t="inlineStr">
        <is>
          <t>Alex Nogueira</t>
        </is>
      </c>
      <c r="G990" t="inlineStr">
        <is>
          <t>Fechada</t>
        </is>
      </c>
      <c r="H990" s="5" t="n">
        <v>45960.72708333333</v>
      </c>
    </row>
    <row r="991">
      <c r="A991" t="inlineStr">
        <is>
          <t>OS-2489</t>
        </is>
      </c>
      <c r="B991" t="inlineStr">
        <is>
          <t>Medidor de vazão P-09 com leitura instável</t>
        </is>
      </c>
      <c r="C991" t="inlineStr">
        <is>
          <t>Medidor de vazão P-09 oscila sem variação de processo.</t>
        </is>
      </c>
      <c r="D991" t="inlineStr">
        <is>
          <t>Estação de Bombeamento Três Pontes</t>
        </is>
      </c>
      <c r="E991" t="inlineStr">
        <is>
          <t>Baixa</t>
        </is>
      </c>
      <c r="F991" t="inlineStr">
        <is>
          <t>Fernanda Quintela</t>
        </is>
      </c>
      <c r="G991" t="inlineStr">
        <is>
          <t>Fechada</t>
        </is>
      </c>
      <c r="H991" s="5" t="n">
        <v>45961.04305555556</v>
      </c>
    </row>
    <row r="992">
      <c r="A992" t="inlineStr">
        <is>
          <t>OS-2490</t>
        </is>
      </c>
      <c r="B992" t="inlineStr">
        <is>
          <t>Portão da área D-14 emperrado</t>
        </is>
      </c>
      <c r="C992" t="inlineStr">
        <is>
          <t>Portão de acesso da área D-14 exige força excessiva para abrir.</t>
        </is>
      </c>
      <c r="D992" t="inlineStr">
        <is>
          <t>Usina Fotovoltaica Cerrado</t>
        </is>
      </c>
      <c r="E992" t="inlineStr">
        <is>
          <t>Baixa</t>
        </is>
      </c>
      <c r="F992" t="inlineStr">
        <is>
          <t>Beatriz Farias</t>
        </is>
      </c>
      <c r="G992" t="inlineStr">
        <is>
          <t>Fechada</t>
        </is>
      </c>
      <c r="H992" s="5" t="n">
        <v>45961.33680555555</v>
      </c>
    </row>
    <row r="993">
      <c r="A993" t="inlineStr">
        <is>
          <t>OS-2491</t>
        </is>
      </c>
      <c r="B993" t="inlineStr">
        <is>
          <t>Disjuntor desarmando no painel D-07</t>
        </is>
      </c>
      <c r="C993" t="inlineStr">
        <is>
          <t>Disjuntor do painel D-07 desarmou três vezes no turno. Carga dentro do nominal.</t>
        </is>
      </c>
      <c r="D993" t="inlineStr">
        <is>
          <t>ETA Ribeirão Fundo</t>
        </is>
      </c>
      <c r="E993" t="inlineStr">
        <is>
          <t>Baixa</t>
        </is>
      </c>
      <c r="F993" t="inlineStr">
        <is>
          <t>Zeca Moraes</t>
        </is>
      </c>
      <c r="G993" t="inlineStr">
        <is>
          <t>Fechada</t>
        </is>
      </c>
      <c r="H993" s="5" t="n">
        <v>45961.63958333333</v>
      </c>
    </row>
    <row r="994">
      <c r="A994" t="inlineStr">
        <is>
          <t>OS-2492</t>
        </is>
      </c>
      <c r="B994" t="inlineStr">
        <is>
          <t>Vazamento de óleo no redutor V-17</t>
        </is>
      </c>
      <c r="C994" t="inlineStr">
        <is>
          <t>Gotejamento de óleo no redutor V-17. Nível ainda dentro da faixa.</t>
        </is>
      </c>
      <c r="D994" t="inlineStr">
        <is>
          <t>Estação Elevatória Oeste</t>
        </is>
      </c>
      <c r="E994" t="inlineStr">
        <is>
          <t>Alta</t>
        </is>
      </c>
      <c r="F994" t="inlineStr">
        <is>
          <t>Kleber Antunes</t>
        </is>
      </c>
      <c r="G994" t="inlineStr">
        <is>
          <t>Fechada</t>
        </is>
      </c>
      <c r="H994" s="5" t="n">
        <v>45961.97291666667</v>
      </c>
    </row>
    <row r="995">
      <c r="A995" t="inlineStr">
        <is>
          <t>OS-2493</t>
        </is>
      </c>
      <c r="B995" t="inlineStr">
        <is>
          <t>Infiltração na parede da casa de bombas F-10</t>
        </is>
      </c>
      <c r="C995" t="inlineStr">
        <is>
          <t>Mancha de umidade crescente na parede da casa de bombas F-10.</t>
        </is>
      </c>
      <c r="D995" t="inlineStr">
        <is>
          <t>Reservatório Alto da Colina</t>
        </is>
      </c>
      <c r="E995" t="inlineStr">
        <is>
          <t>Baixa</t>
        </is>
      </c>
      <c r="F995" t="inlineStr">
        <is>
          <t>Wesley Cardoso</t>
        </is>
      </c>
      <c r="G995" t="inlineStr">
        <is>
          <t>Fechada</t>
        </is>
      </c>
      <c r="H995" s="5" t="n">
        <v>45962.24097222222</v>
      </c>
    </row>
    <row r="996">
      <c r="A996" t="inlineStr">
        <is>
          <t>OS-2494</t>
        </is>
      </c>
      <c r="B996" t="inlineStr">
        <is>
          <t>Ar-condicionado da sala M-31 sem refrigerar</t>
        </is>
      </c>
      <c r="C996" t="inlineStr">
        <is>
          <t>Ar-condicionado da sala de painéis M-31 ligado sem refrigerar.</t>
        </is>
      </c>
      <c r="D996" t="inlineStr">
        <is>
          <t>Adutora Tronco Sul</t>
        </is>
      </c>
      <c r="E996" t="inlineStr">
        <is>
          <t>Média</t>
        </is>
      </c>
      <c r="F996" t="inlineStr">
        <is>
          <t>Flávio Gusmão</t>
        </is>
      </c>
      <c r="G996" t="inlineStr">
        <is>
          <t>Fechada</t>
        </is>
      </c>
      <c r="H996" s="5" t="n">
        <v>45962.56944444445</v>
      </c>
    </row>
    <row r="997">
      <c r="A997" t="inlineStr">
        <is>
          <t>OS-2495</t>
        </is>
      </c>
      <c r="B997" t="inlineStr">
        <is>
          <t>Portão da área M-03 emperrado</t>
        </is>
      </c>
      <c r="C997" t="inlineStr">
        <is>
          <t>Portão de acesso da área M-03 exige força excessiva para abrir.</t>
        </is>
      </c>
      <c r="D997" t="inlineStr">
        <is>
          <t>ETA Ribeirão Fundo</t>
        </is>
      </c>
      <c r="E997" t="inlineStr">
        <is>
          <t>Média</t>
        </is>
      </c>
      <c r="F997" t="inlineStr">
        <is>
          <t>Úrsula Maia</t>
        </is>
      </c>
      <c r="G997" t="inlineStr">
        <is>
          <t>Fechada</t>
        </is>
      </c>
      <c r="H997" s="5" t="n">
        <v>45962.85138888889</v>
      </c>
    </row>
    <row r="998">
      <c r="A998" t="inlineStr">
        <is>
          <t>OS-2496</t>
        </is>
      </c>
      <c r="B998" t="inlineStr">
        <is>
          <t>Tomada sem energia na sala C-37</t>
        </is>
      </c>
      <c r="C998" t="inlineStr">
        <is>
          <t>Tomada de serviço da sala C-37 sem tensão.</t>
        </is>
      </c>
      <c r="D998" t="inlineStr">
        <is>
          <t>Reservatório Santa Luzia</t>
        </is>
      </c>
      <c r="E998" t="inlineStr">
        <is>
          <t>Média</t>
        </is>
      </c>
      <c r="F998" t="inlineStr">
        <is>
          <t>Glória Sampaio</t>
        </is>
      </c>
      <c r="G998" t="inlineStr">
        <is>
          <t>Fechada</t>
        </is>
      </c>
      <c r="H998" s="5" t="n">
        <v>45963.17916666667</v>
      </c>
    </row>
    <row r="999">
      <c r="A999" t="inlineStr">
        <is>
          <t>OS-2497</t>
        </is>
      </c>
      <c r="B999" t="inlineStr">
        <is>
          <t>Vazamento de óleo no redutor M-22</t>
        </is>
      </c>
      <c r="C999" t="inlineStr">
        <is>
          <t>Gotejamento de óleo no redutor M-22. Nível ainda dentro da faixa.</t>
        </is>
      </c>
      <c r="D999" t="inlineStr">
        <is>
          <t>Usina Fotovoltaica Planalto</t>
        </is>
      </c>
      <c r="E999" t="inlineStr">
        <is>
          <t>Alta</t>
        </is>
      </c>
      <c r="F999" t="inlineStr">
        <is>
          <t>Fernanda Quintela</t>
        </is>
      </c>
      <c r="G999" t="inlineStr">
        <is>
          <t>Fechada</t>
        </is>
      </c>
      <c r="H999" s="5" t="n">
        <v>45963.47708333333</v>
      </c>
    </row>
    <row r="1000">
      <c r="A1000" t="inlineStr">
        <is>
          <t>OS-2498</t>
        </is>
      </c>
      <c r="B1000" t="inlineStr">
        <is>
          <t>Ruído anormal no motor E-40</t>
        </is>
      </c>
      <c r="C1000" t="inlineStr">
        <is>
          <t>Ruído intermitente no motor E-40 durante a partida. Temperatura normal ao toque.</t>
        </is>
      </c>
      <c r="D1000" t="inlineStr">
        <is>
          <t>Usina Fotovoltaica Planalto</t>
        </is>
      </c>
      <c r="E1000" t="inlineStr">
        <is>
          <t>Crítica</t>
        </is>
      </c>
      <c r="F1000" t="inlineStr">
        <is>
          <t>Flávio Gusmão</t>
        </is>
      </c>
      <c r="G1000" t="inlineStr">
        <is>
          <t>Fechada</t>
        </is>
      </c>
      <c r="H1000" s="5" t="n">
        <v>45963.77291666667</v>
      </c>
    </row>
    <row r="1001">
      <c r="A1001" t="inlineStr">
        <is>
          <t>OS-2499</t>
        </is>
      </c>
      <c r="B1001" t="inlineStr">
        <is>
          <t>Ar-condicionado da sala F-13 sem refrigerar</t>
        </is>
      </c>
      <c r="C1001" t="inlineStr">
        <is>
          <t>Ar-condicionado da sala de painéis F-13 ligado sem refrigerar.</t>
        </is>
      </c>
      <c r="D1001" t="inlineStr">
        <is>
          <t>Subestação Norte</t>
        </is>
      </c>
      <c r="E1001" t="inlineStr">
        <is>
          <t>Baixa</t>
        </is>
      </c>
      <c r="F1001" t="inlineStr">
        <is>
          <t>Yara Medeiros</t>
        </is>
      </c>
      <c r="G1001" t="inlineStr">
        <is>
          <t>Fechada</t>
        </is>
      </c>
      <c r="H1001" s="5" t="n">
        <v>45964.08958333333</v>
      </c>
    </row>
    <row r="1002">
      <c r="A1002" t="inlineStr">
        <is>
          <t>OS-2500</t>
        </is>
      </c>
      <c r="B1002" t="inlineStr">
        <is>
          <t>Falha de comunicação no CLP F-11</t>
        </is>
      </c>
      <c r="C1002" t="inlineStr">
        <is>
          <t>CLP F-11 perde comunicação com o supervisório em intervalos irregulares.</t>
        </is>
      </c>
      <c r="D1002" t="inlineStr">
        <is>
          <t>Subestação Centro</t>
        </is>
      </c>
      <c r="E1002" t="inlineStr">
        <is>
          <t>Baixa</t>
        </is>
      </c>
      <c r="F1002" t="inlineStr">
        <is>
          <t>Marcos Vinícius Rocha</t>
        </is>
      </c>
      <c r="G1002" t="inlineStr">
        <is>
          <t>Fechada</t>
        </is>
      </c>
      <c r="H1002" s="5" t="n">
        <v>45964.38055555556</v>
      </c>
    </row>
    <row r="1003">
      <c r="A1003" t="inlineStr">
        <is>
          <t>OS-2501</t>
        </is>
      </c>
      <c r="B1003" t="inlineStr">
        <is>
          <t>Vazamento de óleo no redutor R-08</t>
        </is>
      </c>
      <c r="C1003" t="inlineStr">
        <is>
          <t>Gotejamento de óleo no redutor R-08. Nível ainda dentro da faixa.</t>
        </is>
      </c>
      <c r="D1003" t="inlineStr">
        <is>
          <t>ETA Ribeirão Fundo</t>
        </is>
      </c>
      <c r="E1003" t="inlineStr">
        <is>
          <t>Baixa</t>
        </is>
      </c>
      <c r="F1003" t="inlineStr">
        <is>
          <t>Yara Medeiros</t>
        </is>
      </c>
      <c r="G1003" t="inlineStr">
        <is>
          <t>Fechada</t>
        </is>
      </c>
      <c r="H1003" s="5" t="n">
        <v>45964.6875</v>
      </c>
    </row>
    <row r="1004">
      <c r="A1004" t="inlineStr">
        <is>
          <t>OS-2502</t>
        </is>
      </c>
      <c r="B1004" t="inlineStr">
        <is>
          <t>Pintura descascada na estrutura C-10</t>
        </is>
      </c>
      <c r="C1004" t="inlineStr">
        <is>
          <t>Estrutura metálica C-10 com pontos de corrosão sob a pintura.</t>
        </is>
      </c>
      <c r="D1004" t="inlineStr">
        <is>
          <t>ETA Central</t>
        </is>
      </c>
      <c r="E1004" t="inlineStr">
        <is>
          <t>Alta</t>
        </is>
      </c>
      <c r="F1004" t="inlineStr">
        <is>
          <t>Érica Andrade</t>
        </is>
      </c>
      <c r="G1004" t="inlineStr">
        <is>
          <t>Fechada</t>
        </is>
      </c>
      <c r="H1004" s="5" t="n">
        <v>45964.99791666667</v>
      </c>
    </row>
    <row r="1005">
      <c r="A1005" t="inlineStr">
        <is>
          <t>OS-2503</t>
        </is>
      </c>
      <c r="B1005" t="inlineStr">
        <is>
          <t>Falha de comunicação no CLP P-14</t>
        </is>
      </c>
      <c r="C1005" t="inlineStr">
        <is>
          <t>CLP P-14 perde comunicação com o supervisório em intervalos irregulares.</t>
        </is>
      </c>
      <c r="D1005" t="inlineStr">
        <is>
          <t>ETE Rio Claro</t>
        </is>
      </c>
      <c r="E1005" t="inlineStr">
        <is>
          <t>Baixa</t>
        </is>
      </c>
      <c r="F1005" t="inlineStr">
        <is>
          <t>Simone Carvalho</t>
        </is>
      </c>
      <c r="G1005" t="inlineStr">
        <is>
          <t>Fechada</t>
        </is>
      </c>
      <c r="H1005" s="5" t="n">
        <v>45965.33055555556</v>
      </c>
    </row>
    <row r="1006">
      <c r="A1006" t="inlineStr">
        <is>
          <t>OS-2504</t>
        </is>
      </c>
      <c r="B1006" t="inlineStr">
        <is>
          <t>Bomba dosadora T-19 sem recalque</t>
        </is>
      </c>
      <c r="C1006" t="inlineStr">
        <is>
          <t>Bomba dosadora T-19 liga mas não dosa. Mangueira sem obstrução aparente.</t>
        </is>
      </c>
      <c r="D1006" t="inlineStr">
        <is>
          <t>Base Operacional Litoral</t>
        </is>
      </c>
      <c r="E1006" t="inlineStr">
        <is>
          <t>Média</t>
        </is>
      </c>
      <c r="F1006" t="inlineStr">
        <is>
          <t>Simone Carvalho</t>
        </is>
      </c>
      <c r="G1006" t="inlineStr">
        <is>
          <t>Fechada</t>
        </is>
      </c>
      <c r="H1006" s="5" t="n">
        <v>45965.60972222222</v>
      </c>
    </row>
    <row r="1007">
      <c r="A1007" t="inlineStr">
        <is>
          <t>OS-2505</t>
        </is>
      </c>
      <c r="B1007" t="inlineStr">
        <is>
          <t>Sensor de nível sem leitura no tanque H-03</t>
        </is>
      </c>
      <c r="C1007" t="inlineStr">
        <is>
          <t>Supervisório mostra leitura congelada do sensor de nível do tanque H-03.</t>
        </is>
      </c>
      <c r="D1007" t="inlineStr">
        <is>
          <t>Base Operacional Serra</t>
        </is>
      </c>
      <c r="E1007" t="inlineStr">
        <is>
          <t>Média</t>
        </is>
      </c>
      <c r="F1007" t="inlineStr">
        <is>
          <t>Gabriel Matos</t>
        </is>
      </c>
      <c r="G1007" t="inlineStr">
        <is>
          <t>Fechada</t>
        </is>
      </c>
      <c r="H1007" s="5" t="n">
        <v>45965.93680555555</v>
      </c>
    </row>
    <row r="1008">
      <c r="A1008" t="inlineStr">
        <is>
          <t>OS-2506</t>
        </is>
      </c>
      <c r="B1008" t="inlineStr">
        <is>
          <t>Troca de filtro do compressor C-21</t>
        </is>
      </c>
      <c r="C1008" t="inlineStr">
        <is>
          <t>Filtro de ar do compressor C-21 saturado. Substituição preventiva.</t>
        </is>
      </c>
      <c r="D1008" t="inlineStr">
        <is>
          <t>Reservatório Alto da Colina</t>
        </is>
      </c>
      <c r="E1008" t="inlineStr">
        <is>
          <t>Média</t>
        </is>
      </c>
      <c r="F1008" t="inlineStr">
        <is>
          <t>Larissa Bezerra</t>
        </is>
      </c>
      <c r="G1008" t="inlineStr">
        <is>
          <t>Fechada</t>
        </is>
      </c>
      <c r="H1008" s="5" t="n">
        <v>45966.23125</v>
      </c>
    </row>
    <row r="1009">
      <c r="A1009" t="inlineStr">
        <is>
          <t>OS-2507</t>
        </is>
      </c>
      <c r="B1009" t="inlineStr">
        <is>
          <t>Vazamento de óleo no redutor D-03</t>
        </is>
      </c>
      <c r="C1009" t="inlineStr">
        <is>
          <t>Gotejamento de óleo no redutor D-03. Nível ainda dentro da faixa.</t>
        </is>
      </c>
      <c r="D1009" t="inlineStr">
        <is>
          <t>Adutora Tronco Norte</t>
        </is>
      </c>
      <c r="E1009" t="inlineStr">
        <is>
          <t>Média</t>
        </is>
      </c>
      <c r="F1009" t="inlineStr">
        <is>
          <t>Otávio Lacerda</t>
        </is>
      </c>
      <c r="G1009" t="inlineStr">
        <is>
          <t>Fechada</t>
        </is>
      </c>
      <c r="H1009" s="5" t="n">
        <v>45966.53194444445</v>
      </c>
    </row>
    <row r="1010">
      <c r="A1010" t="inlineStr">
        <is>
          <t>OS-2508</t>
        </is>
      </c>
      <c r="B1010" t="inlineStr">
        <is>
          <t>Sensor de nível sem leitura no tanque A-22</t>
        </is>
      </c>
      <c r="C1010" t="inlineStr">
        <is>
          <t>Supervisório mostra leitura congelada do sensor de nível do tanque A-22.</t>
        </is>
      </c>
      <c r="D1010" t="inlineStr">
        <is>
          <t>ETE Vale do Sol</t>
        </is>
      </c>
      <c r="E1010" t="inlineStr">
        <is>
          <t>Alta</t>
        </is>
      </c>
      <c r="F1010" t="inlineStr">
        <is>
          <t>Flávio Gusmão</t>
        </is>
      </c>
      <c r="G1010" t="inlineStr">
        <is>
          <t>Fechada</t>
        </is>
      </c>
      <c r="H1010" s="5" t="n">
        <v>45966.84444444445</v>
      </c>
    </row>
    <row r="1011">
      <c r="A1011" t="inlineStr">
        <is>
          <t>OS-2509</t>
        </is>
      </c>
      <c r="B1011" t="inlineStr">
        <is>
          <t>Correia do ventilador A-03 desgastada</t>
        </is>
      </c>
      <c r="C1011" t="inlineStr">
        <is>
          <t>Correia do ventilador A-03 com trincas visíveis e folga excessiva.</t>
        </is>
      </c>
      <c r="D1011" t="inlineStr">
        <is>
          <t>Reservatório Industrial</t>
        </is>
      </c>
      <c r="E1011" t="inlineStr">
        <is>
          <t>Média</t>
        </is>
      </c>
      <c r="F1011" t="inlineStr">
        <is>
          <t>Kleber Antunes</t>
        </is>
      </c>
      <c r="G1011" t="inlineStr">
        <is>
          <t>Fechada</t>
        </is>
      </c>
      <c r="H1011" s="5" t="n">
        <v>45967.12569444445</v>
      </c>
    </row>
    <row r="1012">
      <c r="A1012" t="inlineStr">
        <is>
          <t>OS-2510</t>
        </is>
      </c>
      <c r="B1012" t="inlineStr">
        <is>
          <t>Vazamento na bomba R-33</t>
        </is>
      </c>
      <c r="C1012" t="inlineStr">
        <is>
          <t>Vazamento pelo selo mecânico da bomba R-33. Piso molhado ao redor da base.</t>
        </is>
      </c>
      <c r="D1012" t="inlineStr">
        <is>
          <t>Subestação Norte</t>
        </is>
      </c>
      <c r="E1012" t="inlineStr">
        <is>
          <t>Crítica</t>
        </is>
      </c>
      <c r="F1012" t="inlineStr">
        <is>
          <t>Natália Cordeiro</t>
        </is>
      </c>
      <c r="G1012" t="inlineStr">
        <is>
          <t>Fechada</t>
        </is>
      </c>
      <c r="H1012" s="5" t="n">
        <v>45967.45069444444</v>
      </c>
    </row>
    <row r="1013">
      <c r="A1013" t="inlineStr">
        <is>
          <t>OS-2511</t>
        </is>
      </c>
      <c r="B1013" t="inlineStr">
        <is>
          <t>Aquecimento no mancal do motor M-32</t>
        </is>
      </c>
      <c r="C1013" t="inlineStr">
        <is>
          <t>Mancal do motor M-32 acima da temperatura usual na medição com termômetro infravermelho.</t>
        </is>
      </c>
      <c r="D1013" t="inlineStr">
        <is>
          <t>Torre de Telecomunicação Morro Alto</t>
        </is>
      </c>
      <c r="E1013" t="inlineStr">
        <is>
          <t>Média</t>
        </is>
      </c>
      <c r="F1013" t="inlineStr">
        <is>
          <t>Igor Fonseca</t>
        </is>
      </c>
      <c r="G1013" t="inlineStr">
        <is>
          <t>Fechada</t>
        </is>
      </c>
      <c r="H1013" s="5" t="n">
        <v>45967.76666666667</v>
      </c>
    </row>
    <row r="1014">
      <c r="A1014" t="inlineStr">
        <is>
          <t>OS-2512</t>
        </is>
      </c>
      <c r="B1014" t="inlineStr">
        <is>
          <t>Disjuntor desarmando no painel C-22</t>
        </is>
      </c>
      <c r="C1014" t="inlineStr">
        <is>
          <t>Disjuntor do painel C-22 desarmou três vezes no turno. Carga dentro do nominal.</t>
        </is>
      </c>
      <c r="D1014" t="inlineStr">
        <is>
          <t>ETA Serra Azul</t>
        </is>
      </c>
      <c r="E1014" t="inlineStr">
        <is>
          <t>Alta</t>
        </is>
      </c>
      <c r="F1014" t="inlineStr">
        <is>
          <t>Glória Sampaio</t>
        </is>
      </c>
      <c r="G1014" t="inlineStr">
        <is>
          <t>Fechada</t>
        </is>
      </c>
      <c r="H1014" s="5" t="n">
        <v>45968.04722222222</v>
      </c>
    </row>
    <row r="1015">
      <c r="A1015" t="inlineStr">
        <is>
          <t>OS-2513</t>
        </is>
      </c>
      <c r="B1015" t="inlineStr">
        <is>
          <t>Calha entupida no prédio A-17</t>
        </is>
      </c>
      <c r="C1015" t="inlineStr">
        <is>
          <t>Calha do prédio A-17 transbordando em dia de chuva.</t>
        </is>
      </c>
      <c r="D1015" t="inlineStr">
        <is>
          <t>Captação Rio Verde</t>
        </is>
      </c>
      <c r="E1015" t="inlineStr">
        <is>
          <t>Média</t>
        </is>
      </c>
      <c r="F1015" t="inlineStr">
        <is>
          <t>Danilo Peixoto</t>
        </is>
      </c>
      <c r="G1015" t="inlineStr">
        <is>
          <t>Fechada</t>
        </is>
      </c>
      <c r="H1015" s="5" t="n">
        <v>45968.38055555556</v>
      </c>
    </row>
    <row r="1016">
      <c r="A1016" t="inlineStr">
        <is>
          <t>OS-2514</t>
        </is>
      </c>
      <c r="B1016" t="inlineStr">
        <is>
          <t>Tomada sem energia na sala M-01</t>
        </is>
      </c>
      <c r="C1016" t="inlineStr">
        <is>
          <t>Tomada de serviço da sala M-01 sem tensão.</t>
        </is>
      </c>
      <c r="D1016" t="inlineStr">
        <is>
          <t>Subestação Leste</t>
        </is>
      </c>
      <c r="E1016" t="inlineStr">
        <is>
          <t>Baixa</t>
        </is>
      </c>
      <c r="F1016" t="inlineStr">
        <is>
          <t>Úrsula Maia</t>
        </is>
      </c>
      <c r="G1016" t="inlineStr">
        <is>
          <t>Fechada</t>
        </is>
      </c>
      <c r="H1016" s="5" t="n">
        <v>45968.65902777778</v>
      </c>
    </row>
    <row r="1017">
      <c r="A1017" t="inlineStr">
        <is>
          <t>OS-2515</t>
        </is>
      </c>
      <c r="B1017" t="inlineStr">
        <is>
          <t>Correia do ventilador D-18 desgastada</t>
        </is>
      </c>
      <c r="C1017" t="inlineStr">
        <is>
          <t>Correia do ventilador D-18 com trincas visíveis e folga excessiva.</t>
        </is>
      </c>
      <c r="D1017" t="inlineStr">
        <is>
          <t>Subestação Norte</t>
        </is>
      </c>
      <c r="E1017" t="inlineStr">
        <is>
          <t>Alta</t>
        </is>
      </c>
      <c r="F1017" t="inlineStr">
        <is>
          <t>Flávio Gusmão</t>
        </is>
      </c>
      <c r="G1017" t="inlineStr">
        <is>
          <t>Fechada</t>
        </is>
      </c>
      <c r="H1017" s="5" t="n">
        <v>45968.97430555556</v>
      </c>
    </row>
    <row r="1018">
      <c r="A1018" t="inlineStr">
        <is>
          <t>OS-2516</t>
        </is>
      </c>
      <c r="B1018" t="inlineStr">
        <is>
          <t>Troca de filtro do compressor C-22</t>
        </is>
      </c>
      <c r="C1018" t="inlineStr">
        <is>
          <t>Filtro de ar do compressor C-22 saturado. Substituição preventiva.</t>
        </is>
      </c>
      <c r="D1018" t="inlineStr">
        <is>
          <t>Adutora Tronco Norte</t>
        </is>
      </c>
      <c r="E1018" t="inlineStr">
        <is>
          <t>Baixa</t>
        </is>
      </c>
      <c r="F1018" t="inlineStr">
        <is>
          <t>Beatriz Farias</t>
        </is>
      </c>
      <c r="G1018" t="inlineStr">
        <is>
          <t>Fechada</t>
        </is>
      </c>
      <c r="H1018" s="5" t="n">
        <v>45969.29236111111</v>
      </c>
    </row>
    <row r="1019">
      <c r="A1019" t="inlineStr">
        <is>
          <t>OS-2517</t>
        </is>
      </c>
      <c r="B1019" t="inlineStr">
        <is>
          <t>Infiltração na parede da casa de bombas E-24</t>
        </is>
      </c>
      <c r="C1019" t="inlineStr">
        <is>
          <t>Mancha de umidade crescente na parede da casa de bombas E-24.</t>
        </is>
      </c>
      <c r="D1019" t="inlineStr">
        <is>
          <t>Almoxarifado Central</t>
        </is>
      </c>
      <c r="E1019" t="inlineStr">
        <is>
          <t>Média</t>
        </is>
      </c>
      <c r="F1019" t="inlineStr">
        <is>
          <t>Lívia Montenegro</t>
        </is>
      </c>
      <c r="G1019" t="inlineStr">
        <is>
          <t>Fechada</t>
        </is>
      </c>
      <c r="H1019" s="5" t="n">
        <v>45969.57291666666</v>
      </c>
    </row>
    <row r="1020">
      <c r="A1020" t="inlineStr">
        <is>
          <t>OS-2518</t>
        </is>
      </c>
      <c r="B1020" t="inlineStr">
        <is>
          <t>Correia do ventilador M-35 desgastada</t>
        </is>
      </c>
      <c r="C1020" t="inlineStr">
        <is>
          <t>Correia do ventilador M-35 com trincas visíveis e folga excessiva.</t>
        </is>
      </c>
      <c r="D1020" t="inlineStr">
        <is>
          <t>Base Operacional Litoral</t>
        </is>
      </c>
      <c r="E1020" t="inlineStr">
        <is>
          <t>Média</t>
        </is>
      </c>
      <c r="F1020" t="inlineStr">
        <is>
          <t>Ingrid Queiroz</t>
        </is>
      </c>
      <c r="G1020" t="inlineStr">
        <is>
          <t>Fechada</t>
        </is>
      </c>
      <c r="H1020" s="5" t="n">
        <v>45969.89791666667</v>
      </c>
    </row>
    <row r="1021">
      <c r="A1021" t="inlineStr">
        <is>
          <t>OS-2519</t>
        </is>
      </c>
      <c r="B1021" t="inlineStr">
        <is>
          <t>Disjuntor desarmando no painel G-14</t>
        </is>
      </c>
      <c r="C1021" t="inlineStr">
        <is>
          <t>Disjuntor do painel G-14 desarmou três vezes no turno. Carga dentro do nominal.</t>
        </is>
      </c>
      <c r="D1021" t="inlineStr">
        <is>
          <t>ETA Central</t>
        </is>
      </c>
      <c r="E1021" t="inlineStr">
        <is>
          <t>Baixa</t>
        </is>
      </c>
      <c r="F1021" t="inlineStr">
        <is>
          <t>Wesley Cardoso</t>
        </is>
      </c>
      <c r="G1021" t="inlineStr">
        <is>
          <t>Fechada</t>
        </is>
      </c>
      <c r="H1021" s="5" t="n">
        <v>45970.20972222222</v>
      </c>
    </row>
    <row r="1022">
      <c r="A1022" t="inlineStr">
        <is>
          <t>OS-2520</t>
        </is>
      </c>
      <c r="B1022" t="inlineStr">
        <is>
          <t>Medidor de vazão P-31 com leitura instável</t>
        </is>
      </c>
      <c r="C1022" t="inlineStr">
        <is>
          <t>Medidor de vazão P-31 oscila sem variação de processo.</t>
        </is>
      </c>
      <c r="D1022" t="inlineStr">
        <is>
          <t>Reservatório Alto da Colina</t>
        </is>
      </c>
      <c r="E1022" t="inlineStr">
        <is>
          <t>Média</t>
        </is>
      </c>
      <c r="F1022" t="inlineStr">
        <is>
          <t>Érica Andrade</t>
        </is>
      </c>
      <c r="G1022" t="inlineStr">
        <is>
          <t>Fechada</t>
        </is>
      </c>
      <c r="H1022" s="5" t="n">
        <v>45970.50416666667</v>
      </c>
    </row>
    <row r="1023">
      <c r="A1023" t="inlineStr">
        <is>
          <t>OS-2521</t>
        </is>
      </c>
      <c r="B1023" t="inlineStr">
        <is>
          <t>Bomba dosadora G-10 sem recalque</t>
        </is>
      </c>
      <c r="C1023" t="inlineStr">
        <is>
          <t>Bomba dosadora G-10 liga mas não dosa. Mangueira sem obstrução aparente.</t>
        </is>
      </c>
      <c r="D1023" t="inlineStr">
        <is>
          <t>Laboratório de Controle</t>
        </is>
      </c>
      <c r="E1023" t="inlineStr">
        <is>
          <t>Baixa</t>
        </is>
      </c>
      <c r="F1023" t="inlineStr">
        <is>
          <t>Vagner Pacheco</t>
        </is>
      </c>
      <c r="G1023" t="inlineStr">
        <is>
          <t>Fechada</t>
        </is>
      </c>
      <c r="H1023" s="5" t="n">
        <v>45970.82083333333</v>
      </c>
    </row>
    <row r="1024">
      <c r="A1024" t="inlineStr">
        <is>
          <t>OS-2522</t>
        </is>
      </c>
      <c r="B1024" t="inlineStr">
        <is>
          <t>Correia do ventilador H-27 desgastada</t>
        </is>
      </c>
      <c r="C1024" t="inlineStr">
        <is>
          <t>Correia do ventilador H-27 com trincas visíveis e folga excessiva.</t>
        </is>
      </c>
      <c r="D1024" t="inlineStr">
        <is>
          <t>Reservatório Santa Luzia</t>
        </is>
      </c>
      <c r="E1024" t="inlineStr">
        <is>
          <t>Baixa</t>
        </is>
      </c>
      <c r="F1024" t="inlineStr">
        <is>
          <t>Igor Fonseca</t>
        </is>
      </c>
      <c r="G1024" t="inlineStr">
        <is>
          <t>Fechada</t>
        </is>
      </c>
      <c r="H1024" s="5" t="n">
        <v>45971.09513888889</v>
      </c>
    </row>
    <row r="1025">
      <c r="A1025" t="inlineStr">
        <is>
          <t>OS-2523</t>
        </is>
      </c>
      <c r="B1025" t="inlineStr">
        <is>
          <t>Ruído anormal no motor D-09</t>
        </is>
      </c>
      <c r="C1025" t="inlineStr">
        <is>
          <t>Ruído intermitente no motor D-09 durante a partida. Temperatura normal ao toque.</t>
        </is>
      </c>
      <c r="D1025" t="inlineStr">
        <is>
          <t>Subestação Oeste</t>
        </is>
      </c>
      <c r="E1025" t="inlineStr">
        <is>
          <t>Média</t>
        </is>
      </c>
      <c r="F1025" t="inlineStr">
        <is>
          <t>Lívia Montenegro</t>
        </is>
      </c>
      <c r="G1025" t="inlineStr">
        <is>
          <t>Fechada</t>
        </is>
      </c>
      <c r="H1025" s="5" t="n">
        <v>45971.41597222222</v>
      </c>
    </row>
    <row r="1026">
      <c r="A1026" t="inlineStr">
        <is>
          <t>OS-2524</t>
        </is>
      </c>
      <c r="B1026" t="inlineStr">
        <is>
          <t>Ruído anormal no motor R-09</t>
        </is>
      </c>
      <c r="C1026" t="inlineStr">
        <is>
          <t>Ruído intermitente no motor R-09 durante a partida. Temperatura normal ao toque.</t>
        </is>
      </c>
      <c r="D1026" t="inlineStr">
        <is>
          <t>Sede Administrativa</t>
        </is>
      </c>
      <c r="E1026" t="inlineStr">
        <is>
          <t>Média</t>
        </is>
      </c>
      <c r="F1026" t="inlineStr">
        <is>
          <t>Simone Carvalho</t>
        </is>
      </c>
      <c r="G1026" t="inlineStr">
        <is>
          <t>Fechada</t>
        </is>
      </c>
      <c r="H1026" s="5" t="n">
        <v>45971.725</v>
      </c>
    </row>
    <row r="1027">
      <c r="A1027" t="inlineStr">
        <is>
          <t>OS-2525</t>
        </is>
      </c>
      <c r="B1027" t="inlineStr">
        <is>
          <t>Tomada sem energia na sala M-38</t>
        </is>
      </c>
      <c r="C1027" t="inlineStr">
        <is>
          <t>Tomada de serviço da sala M-38 sem tensão.</t>
        </is>
      </c>
      <c r="D1027" t="inlineStr">
        <is>
          <t>ETA Central</t>
        </is>
      </c>
      <c r="E1027" t="inlineStr">
        <is>
          <t>Média</t>
        </is>
      </c>
      <c r="F1027" t="inlineStr">
        <is>
          <t>Heloísa Barreto</t>
        </is>
      </c>
      <c r="G1027" t="inlineStr">
        <is>
          <t>Fechada</t>
        </is>
      </c>
      <c r="H1027" s="5" t="n">
        <v>45972.03263888889</v>
      </c>
    </row>
    <row r="1028">
      <c r="A1028" t="inlineStr">
        <is>
          <t>OS-2526</t>
        </is>
      </c>
      <c r="B1028" t="inlineStr">
        <is>
          <t>Falha de comunicação no CLP H-37</t>
        </is>
      </c>
      <c r="C1028" t="inlineStr">
        <is>
          <t>CLP H-37 perde comunicação com o supervisório em intervalos irregulares.</t>
        </is>
      </c>
      <c r="D1028" t="inlineStr">
        <is>
          <t>Captação Rio Verde</t>
        </is>
      </c>
      <c r="E1028" t="inlineStr">
        <is>
          <t>Média</t>
        </is>
      </c>
      <c r="F1028" t="inlineStr">
        <is>
          <t>Igor Fonseca</t>
        </is>
      </c>
      <c r="G1028" t="inlineStr">
        <is>
          <t>Fechada</t>
        </is>
      </c>
      <c r="H1028" s="5" t="n">
        <v>45972.33194444444</v>
      </c>
    </row>
    <row r="1029">
      <c r="A1029" t="inlineStr">
        <is>
          <t>OS-2527</t>
        </is>
      </c>
      <c r="B1029" t="inlineStr">
        <is>
          <t>Vazamento na bomba D-12</t>
        </is>
      </c>
      <c r="C1029" t="inlineStr">
        <is>
          <t>Vazamento pelo selo mecânico da bomba D-12. Piso molhado ao redor da base.</t>
        </is>
      </c>
      <c r="D1029" t="inlineStr">
        <is>
          <t>Estação de Bombeamento Vila Nova</t>
        </is>
      </c>
      <c r="E1029" t="inlineStr">
        <is>
          <t>Média</t>
        </is>
      </c>
      <c r="F1029" t="inlineStr">
        <is>
          <t>Yara Medeiros</t>
        </is>
      </c>
      <c r="G1029" t="inlineStr">
        <is>
          <t>Fechada</t>
        </is>
      </c>
      <c r="H1029" s="5" t="n">
        <v>45972.63541666666</v>
      </c>
    </row>
    <row r="1030">
      <c r="A1030" t="inlineStr">
        <is>
          <t>OS-2528</t>
        </is>
      </c>
      <c r="B1030" t="inlineStr">
        <is>
          <t>Ar-condicionado da sala D-17 sem refrigerar</t>
        </is>
      </c>
      <c r="C1030" t="inlineStr">
        <is>
          <t>Ar-condicionado da sala de painéis D-17 ligado sem refrigerar.</t>
        </is>
      </c>
      <c r="D1030" t="inlineStr">
        <is>
          <t>Base Operacional Serra</t>
        </is>
      </c>
      <c r="E1030" t="inlineStr">
        <is>
          <t>Média</t>
        </is>
      </c>
      <c r="F1030" t="inlineStr">
        <is>
          <t>Daniela Pires</t>
        </is>
      </c>
      <c r="G1030" t="inlineStr">
        <is>
          <t>Fechada</t>
        </is>
      </c>
      <c r="H1030" s="5" t="n">
        <v>45972.92777777778</v>
      </c>
    </row>
    <row r="1031">
      <c r="A1031" t="inlineStr">
        <is>
          <t>OS-2529</t>
        </is>
      </c>
      <c r="B1031" t="inlineStr">
        <is>
          <t>Vazamento na bomba P-12</t>
        </is>
      </c>
      <c r="C1031" t="inlineStr">
        <is>
          <t>Vazamento pelo selo mecânico da bomba P-12. Piso molhado ao redor da base.</t>
        </is>
      </c>
      <c r="D1031" t="inlineStr">
        <is>
          <t>Subestação Norte</t>
        </is>
      </c>
      <c r="E1031" t="inlineStr">
        <is>
          <t>Média</t>
        </is>
      </c>
      <c r="F1031" t="inlineStr">
        <is>
          <t>Igor Fonseca</t>
        </is>
      </c>
      <c r="G1031" t="inlineStr">
        <is>
          <t>Fechada</t>
        </is>
      </c>
      <c r="H1031" s="5" t="n">
        <v>45973.24861111111</v>
      </c>
    </row>
    <row r="1032">
      <c r="A1032" t="inlineStr">
        <is>
          <t>OS-2530</t>
        </is>
      </c>
      <c r="B1032" t="inlineStr">
        <is>
          <t>Falha de comunicação no CLP T-06</t>
        </is>
      </c>
      <c r="C1032" t="inlineStr">
        <is>
          <t>CLP T-06 perde comunicação com o supervisório em intervalos irregulares.</t>
        </is>
      </c>
      <c r="D1032" t="inlineStr">
        <is>
          <t>ETE Rio Claro</t>
        </is>
      </c>
      <c r="E1032" t="inlineStr">
        <is>
          <t>Baixa</t>
        </is>
      </c>
      <c r="F1032" t="inlineStr">
        <is>
          <t>Cíntia Freitas</t>
        </is>
      </c>
      <c r="G1032" t="inlineStr">
        <is>
          <t>Fechada</t>
        </is>
      </c>
      <c r="H1032" s="5" t="n">
        <v>45973.56597222222</v>
      </c>
    </row>
    <row r="1033">
      <c r="A1033" t="inlineStr">
        <is>
          <t>OS-2531</t>
        </is>
      </c>
      <c r="B1033" t="inlineStr">
        <is>
          <t>Troca de filtro do compressor P-22</t>
        </is>
      </c>
      <c r="C1033" t="inlineStr">
        <is>
          <t>Filtro de ar do compressor P-22 saturado. Substituição preventiva.</t>
        </is>
      </c>
      <c r="D1033" t="inlineStr">
        <is>
          <t>Subestação Centro</t>
        </is>
      </c>
      <c r="E1033" t="inlineStr">
        <is>
          <t>Alta</t>
        </is>
      </c>
      <c r="F1033" t="inlineStr">
        <is>
          <t>Yara Medeiros</t>
        </is>
      </c>
      <c r="G1033" t="inlineStr">
        <is>
          <t>Fechada</t>
        </is>
      </c>
      <c r="H1033" s="5" t="n">
        <v>45973.85555555556</v>
      </c>
    </row>
    <row r="1034">
      <c r="A1034" t="inlineStr">
        <is>
          <t>OS-2532</t>
        </is>
      </c>
      <c r="B1034" t="inlineStr">
        <is>
          <t>Troca de filtro do compressor T-07</t>
        </is>
      </c>
      <c r="C1034" t="inlineStr">
        <is>
          <t>Filtro de ar do compressor T-07 saturado. Substituição preventiva.</t>
        </is>
      </c>
      <c r="D1034" t="inlineStr">
        <is>
          <t>ETE Vale do Sol</t>
        </is>
      </c>
      <c r="E1034" t="inlineStr">
        <is>
          <t>Média</t>
        </is>
      </c>
      <c r="F1034" t="inlineStr">
        <is>
          <t>Murilo Paiva</t>
        </is>
      </c>
      <c r="G1034" t="inlineStr">
        <is>
          <t>Fechada</t>
        </is>
      </c>
      <c r="H1034" s="5" t="n">
        <v>45974.14375</v>
      </c>
    </row>
    <row r="1035">
      <c r="A1035" t="inlineStr">
        <is>
          <t>OS-2533</t>
        </is>
      </c>
      <c r="B1035" t="inlineStr">
        <is>
          <t>Infiltração na parede da casa de bombas A-36</t>
        </is>
      </c>
      <c r="C1035" t="inlineStr">
        <is>
          <t>Mancha de umidade crescente na parede da casa de bombas A-36.</t>
        </is>
      </c>
      <c r="D1035" t="inlineStr">
        <is>
          <t>Reservatório Industrial</t>
        </is>
      </c>
      <c r="E1035" t="inlineStr">
        <is>
          <t>Média</t>
        </is>
      </c>
      <c r="F1035" t="inlineStr">
        <is>
          <t>Murilo Paiva</t>
        </is>
      </c>
      <c r="G1035" t="inlineStr">
        <is>
          <t>Fechada</t>
        </is>
      </c>
      <c r="H1035" s="5" t="n">
        <v>45974.45347222222</v>
      </c>
    </row>
    <row r="1036">
      <c r="A1036" t="inlineStr">
        <is>
          <t>OS-2534</t>
        </is>
      </c>
      <c r="B1036" t="inlineStr">
        <is>
          <t>Aquecimento no mancal do motor G-02</t>
        </is>
      </c>
      <c r="C1036" t="inlineStr">
        <is>
          <t>Mancal do motor G-02 acima da temperatura usual na medição com termômetro infravermelho.</t>
        </is>
      </c>
      <c r="D1036" t="inlineStr">
        <is>
          <t>Pátio de Veículos</t>
        </is>
      </c>
      <c r="E1036" t="inlineStr">
        <is>
          <t>Crítica</t>
        </is>
      </c>
      <c r="F1036" t="inlineStr">
        <is>
          <t>Hugo Albuquerque</t>
        </is>
      </c>
      <c r="G1036" t="inlineStr">
        <is>
          <t>Fechada</t>
        </is>
      </c>
      <c r="H1036" s="5" t="n">
        <v>45974.7625</v>
      </c>
    </row>
    <row r="1037">
      <c r="A1037" t="inlineStr">
        <is>
          <t>OS-2535</t>
        </is>
      </c>
      <c r="B1037" t="inlineStr">
        <is>
          <t>Pintura descascada na estrutura C-18</t>
        </is>
      </c>
      <c r="C1037" t="inlineStr">
        <is>
          <t>Estrutura metálica C-18 com pontos de corrosão sob a pintura.</t>
        </is>
      </c>
      <c r="D1037" t="inlineStr">
        <is>
          <t>Subestação Norte</t>
        </is>
      </c>
      <c r="E1037" t="inlineStr">
        <is>
          <t>Alta</t>
        </is>
      </c>
      <c r="F1037" t="inlineStr">
        <is>
          <t>Marcos Vinícius Rocha</t>
        </is>
      </c>
      <c r="G1037" t="inlineStr">
        <is>
          <t>Fechada</t>
        </is>
      </c>
      <c r="H1037" s="5" t="n">
        <v>45975.07361111111</v>
      </c>
    </row>
    <row r="1038">
      <c r="A1038" t="inlineStr">
        <is>
          <t>OS-2536</t>
        </is>
      </c>
      <c r="B1038" t="inlineStr">
        <is>
          <t>Disjuntor desarmando no painel G-14</t>
        </is>
      </c>
      <c r="C1038" t="inlineStr">
        <is>
          <t>Disjuntor do painel G-14 desarmou três vezes no turno. Carga dentro do nominal.</t>
        </is>
      </c>
      <c r="D1038" t="inlineStr">
        <is>
          <t>Almoxarifado Central</t>
        </is>
      </c>
      <c r="E1038" t="inlineStr">
        <is>
          <t>Média</t>
        </is>
      </c>
      <c r="F1038" t="inlineStr">
        <is>
          <t>Caio Rangel</t>
        </is>
      </c>
      <c r="G1038" t="inlineStr">
        <is>
          <t>Fechada</t>
        </is>
      </c>
      <c r="H1038" s="5" t="n">
        <v>45975.36388888889</v>
      </c>
    </row>
    <row r="1039">
      <c r="A1039" t="inlineStr">
        <is>
          <t>OS-2537</t>
        </is>
      </c>
      <c r="B1039" t="inlineStr">
        <is>
          <t>Disjuntor desarmando no painel H-14</t>
        </is>
      </c>
      <c r="C1039" t="inlineStr">
        <is>
          <t>Disjuntor do painel H-14 desarmou três vezes no turno. Carga dentro do nominal.</t>
        </is>
      </c>
      <c r="D1039" t="inlineStr">
        <is>
          <t>Captação Lagoa Seca</t>
        </is>
      </c>
      <c r="E1039" t="inlineStr">
        <is>
          <t>Baixa</t>
        </is>
      </c>
      <c r="F1039" t="inlineStr">
        <is>
          <t>Otávio Lacerda</t>
        </is>
      </c>
      <c r="G1039" t="inlineStr">
        <is>
          <t>Fechada</t>
        </is>
      </c>
      <c r="H1039" s="5" t="n">
        <v>45975.69097222222</v>
      </c>
    </row>
    <row r="1040">
      <c r="A1040" t="inlineStr">
        <is>
          <t>OS-2538</t>
        </is>
      </c>
      <c r="B1040" t="inlineStr">
        <is>
          <t>Lâmpada queimada na área A-27</t>
        </is>
      </c>
      <c r="C1040" t="inlineStr">
        <is>
          <t>Iluminação da área A-27 sem funcionar. Reposição de lâmpada e conferência do reator.</t>
        </is>
      </c>
      <c r="D1040" t="inlineStr">
        <is>
          <t>Reservatório Santa Luzia</t>
        </is>
      </c>
      <c r="E1040" t="inlineStr">
        <is>
          <t>Média</t>
        </is>
      </c>
      <c r="F1040" t="inlineStr">
        <is>
          <t>Ingrid Queiroz</t>
        </is>
      </c>
      <c r="G1040" t="inlineStr">
        <is>
          <t>Fechada</t>
        </is>
      </c>
      <c r="H1040" s="5" t="n">
        <v>45975.99791666667</v>
      </c>
    </row>
    <row r="1041">
      <c r="A1041" t="inlineStr">
        <is>
          <t>OS-2539</t>
        </is>
      </c>
      <c r="B1041" t="inlineStr">
        <is>
          <t>Troca de filtro do compressor M-39</t>
        </is>
      </c>
      <c r="C1041" t="inlineStr">
        <is>
          <t>Filtro de ar do compressor M-39 saturado. Substituição preventiva.</t>
        </is>
      </c>
      <c r="D1041" t="inlineStr">
        <is>
          <t>Subestação Norte</t>
        </is>
      </c>
      <c r="E1041" t="inlineStr">
        <is>
          <t>Média</t>
        </is>
      </c>
      <c r="F1041" t="inlineStr">
        <is>
          <t>Cíntia Freitas</t>
        </is>
      </c>
      <c r="G1041" t="inlineStr">
        <is>
          <t>Fechada</t>
        </is>
      </c>
      <c r="H1041" s="5" t="n">
        <v>45976.30138888889</v>
      </c>
    </row>
    <row r="1042">
      <c r="A1042" t="inlineStr">
        <is>
          <t>OS-2540</t>
        </is>
      </c>
      <c r="B1042" t="inlineStr">
        <is>
          <t>Ar-condicionado da sala R-36 sem refrigerar</t>
        </is>
      </c>
      <c r="C1042" t="inlineStr">
        <is>
          <t>Ar-condicionado da sala de painéis R-36 ligado sem refrigerar.</t>
        </is>
      </c>
      <c r="D1042" t="inlineStr">
        <is>
          <t>Base Operacional Litoral</t>
        </is>
      </c>
      <c r="E1042" t="inlineStr">
        <is>
          <t>Baixa</t>
        </is>
      </c>
      <c r="F1042" t="inlineStr">
        <is>
          <t>Marcos Vinícius Rocha</t>
        </is>
      </c>
      <c r="G1042" t="inlineStr">
        <is>
          <t>Fechada</t>
        </is>
      </c>
      <c r="H1042" s="5" t="n">
        <v>45976.59930555556</v>
      </c>
    </row>
    <row r="1043">
      <c r="A1043" t="inlineStr">
        <is>
          <t>OS-2541</t>
        </is>
      </c>
      <c r="B1043" t="inlineStr">
        <is>
          <t>Bomba dosadora H-26 sem recalque</t>
        </is>
      </c>
      <c r="C1043" t="inlineStr">
        <is>
          <t>Bomba dosadora H-26 liga mas não dosa. Mangueira sem obstrução aparente.</t>
        </is>
      </c>
      <c r="D1043" t="inlineStr">
        <is>
          <t>Estação Elevatória Porto</t>
        </is>
      </c>
      <c r="E1043" t="inlineStr">
        <is>
          <t>Baixa</t>
        </is>
      </c>
      <c r="F1043" t="inlineStr">
        <is>
          <t>Lívia Montenegro</t>
        </is>
      </c>
      <c r="G1043" t="inlineStr">
        <is>
          <t>Fechada</t>
        </is>
      </c>
      <c r="H1043" s="5" t="n">
        <v>45976.90347222222</v>
      </c>
    </row>
    <row r="1044">
      <c r="A1044" t="inlineStr">
        <is>
          <t>OS-2542</t>
        </is>
      </c>
      <c r="B1044" t="inlineStr">
        <is>
          <t>Portão da área P-06 emperrado</t>
        </is>
      </c>
      <c r="C1044" t="inlineStr">
        <is>
          <t>Portão de acesso da área P-06 exige força excessiva para abrir.</t>
        </is>
      </c>
      <c r="D1044" t="inlineStr">
        <is>
          <t>Base Operacional Litoral</t>
        </is>
      </c>
      <c r="E1044" t="inlineStr">
        <is>
          <t>Baixa</t>
        </is>
      </c>
      <c r="F1044" t="inlineStr">
        <is>
          <t>Rafael Torres</t>
        </is>
      </c>
      <c r="G1044" t="inlineStr">
        <is>
          <t>Fechada</t>
        </is>
      </c>
      <c r="H1044" s="5" t="n">
        <v>45977.19861111111</v>
      </c>
    </row>
    <row r="1045">
      <c r="A1045" t="inlineStr">
        <is>
          <t>OS-2543</t>
        </is>
      </c>
      <c r="B1045" t="inlineStr">
        <is>
          <t>Lâmpada queimada na área P-17</t>
        </is>
      </c>
      <c r="C1045" t="inlineStr">
        <is>
          <t>Iluminação da área P-17 sem funcionar. Reposição de lâmpada e conferência do reator.</t>
        </is>
      </c>
      <c r="D1045" t="inlineStr">
        <is>
          <t>ETE Rio Claro</t>
        </is>
      </c>
      <c r="E1045" t="inlineStr">
        <is>
          <t>Baixa</t>
        </is>
      </c>
      <c r="F1045" t="inlineStr">
        <is>
          <t>Kleber Antunes</t>
        </is>
      </c>
      <c r="G1045" t="inlineStr">
        <is>
          <t>Fechada</t>
        </is>
      </c>
      <c r="H1045" s="5" t="n">
        <v>45977.50347222222</v>
      </c>
    </row>
    <row r="1046">
      <c r="A1046" t="inlineStr">
        <is>
          <t>OS-2544</t>
        </is>
      </c>
      <c r="B1046" t="inlineStr">
        <is>
          <t>Portão da área T-28 emperrado</t>
        </is>
      </c>
      <c r="C1046" t="inlineStr">
        <is>
          <t>Portão de acesso da área T-28 exige força excessiva para abrir.</t>
        </is>
      </c>
      <c r="D1046" t="inlineStr">
        <is>
          <t>Oficina Mecânica Central</t>
        </is>
      </c>
      <c r="E1046" t="inlineStr">
        <is>
          <t>Média</t>
        </is>
      </c>
      <c r="F1046" t="inlineStr">
        <is>
          <t>Vagner Pacheco</t>
        </is>
      </c>
      <c r="G1046" t="inlineStr">
        <is>
          <t>Fechada</t>
        </is>
      </c>
      <c r="H1046" s="5" t="n">
        <v>45977.81944444445</v>
      </c>
    </row>
    <row r="1047">
      <c r="A1047" t="inlineStr">
        <is>
          <t>OS-2545</t>
        </is>
      </c>
      <c r="B1047" t="inlineStr">
        <is>
          <t>Exaustor D-04 parado</t>
        </is>
      </c>
      <c r="C1047" t="inlineStr">
        <is>
          <t>Exaustor D-04 não parte. Fusível íntegro.</t>
        </is>
      </c>
      <c r="D1047" t="inlineStr">
        <is>
          <t>Estação de Bombeamento Três Pontes</t>
        </is>
      </c>
      <c r="E1047" t="inlineStr">
        <is>
          <t>Baixa</t>
        </is>
      </c>
      <c r="F1047" t="inlineStr">
        <is>
          <t>Thiago Bastos</t>
        </is>
      </c>
      <c r="G1047" t="inlineStr">
        <is>
          <t>Fechada</t>
        </is>
      </c>
      <c r="H1047" s="5" t="n">
        <v>45978.14444444444</v>
      </c>
    </row>
    <row r="1048">
      <c r="A1048" t="inlineStr">
        <is>
          <t>OS-2546</t>
        </is>
      </c>
      <c r="B1048" t="inlineStr">
        <is>
          <t>Aquecimento no mancal do motor A-02</t>
        </is>
      </c>
      <c r="C1048" t="inlineStr">
        <is>
          <t>Mancal do motor A-02 acima da temperatura usual na medição com termômetro infravermelho.</t>
        </is>
      </c>
      <c r="D1048" t="inlineStr">
        <is>
          <t>Estação Elevatória Oeste</t>
        </is>
      </c>
      <c r="E1048" t="inlineStr">
        <is>
          <t>Média</t>
        </is>
      </c>
      <c r="F1048" t="inlineStr">
        <is>
          <t>Ingrid Queiroz</t>
        </is>
      </c>
      <c r="G1048" t="inlineStr">
        <is>
          <t>Fechada</t>
        </is>
      </c>
      <c r="H1048" s="5" t="n">
        <v>45978.43194444444</v>
      </c>
    </row>
    <row r="1049">
      <c r="A1049" t="inlineStr">
        <is>
          <t>OS-2547</t>
        </is>
      </c>
      <c r="B1049" t="inlineStr">
        <is>
          <t>Vazamento na bomba T-33</t>
        </is>
      </c>
      <c r="C1049" t="inlineStr">
        <is>
          <t>Vazamento pelo selo mecânico da bomba T-33. Piso molhado ao redor da base.</t>
        </is>
      </c>
      <c r="D1049" t="inlineStr">
        <is>
          <t>Adutora Tronco Sul</t>
        </is>
      </c>
      <c r="E1049" t="inlineStr">
        <is>
          <t>Média</t>
        </is>
      </c>
      <c r="F1049" t="inlineStr">
        <is>
          <t>Rafael Torres</t>
        </is>
      </c>
      <c r="G1049" t="inlineStr">
        <is>
          <t>Fechada</t>
        </is>
      </c>
      <c r="H1049" s="5" t="n">
        <v>45978.72638888889</v>
      </c>
    </row>
    <row r="1050">
      <c r="A1050" t="inlineStr">
        <is>
          <t>OS-2548</t>
        </is>
      </c>
      <c r="B1050" t="inlineStr">
        <is>
          <t>Ruído anormal no motor E-39</t>
        </is>
      </c>
      <c r="C1050" t="inlineStr">
        <is>
          <t>Ruído intermitente no motor E-39 durante a partida. Temperatura normal ao toque.</t>
        </is>
      </c>
      <c r="D1050" t="inlineStr">
        <is>
          <t>Usina Fotovoltaica Planalto</t>
        </is>
      </c>
      <c r="E1050" t="inlineStr">
        <is>
          <t>Alta</t>
        </is>
      </c>
      <c r="F1050" t="inlineStr">
        <is>
          <t>Bernardo Leal</t>
        </is>
      </c>
      <c r="G1050" t="inlineStr">
        <is>
          <t>Fechada</t>
        </is>
      </c>
      <c r="H1050" s="5" t="n">
        <v>45979.04236111111</v>
      </c>
    </row>
    <row r="1051">
      <c r="A1051" t="inlineStr">
        <is>
          <t>OS-2549</t>
        </is>
      </c>
      <c r="B1051" t="inlineStr">
        <is>
          <t>Medidor de vazão P-04 com leitura instável</t>
        </is>
      </c>
      <c r="C1051" t="inlineStr">
        <is>
          <t>Medidor de vazão P-04 oscila sem variação de processo.</t>
        </is>
      </c>
      <c r="D1051" t="inlineStr">
        <is>
          <t>Oficina Mecânica Central</t>
        </is>
      </c>
      <c r="E1051" t="inlineStr">
        <is>
          <t>Média</t>
        </is>
      </c>
      <c r="F1051" t="inlineStr">
        <is>
          <t>Flávio Gusmão</t>
        </is>
      </c>
      <c r="G1051" t="inlineStr">
        <is>
          <t>Fechada</t>
        </is>
      </c>
      <c r="H1051" s="5" t="n">
        <v>45979.33333333334</v>
      </c>
    </row>
    <row r="1052">
      <c r="A1052" t="inlineStr">
        <is>
          <t>OS-2550</t>
        </is>
      </c>
      <c r="B1052" t="inlineStr">
        <is>
          <t>Sensor de nível sem leitura no tanque R-09</t>
        </is>
      </c>
      <c r="C1052" t="inlineStr">
        <is>
          <t>Supervisório mostra leitura congelada do sensor de nível do tanque R-09.</t>
        </is>
      </c>
      <c r="D1052" t="inlineStr">
        <is>
          <t>ETA Central</t>
        </is>
      </c>
      <c r="E1052" t="inlineStr">
        <is>
          <t>Média</t>
        </is>
      </c>
      <c r="F1052" t="inlineStr">
        <is>
          <t>Cíntia Freitas</t>
        </is>
      </c>
      <c r="G1052" t="inlineStr">
        <is>
          <t>Fechada</t>
        </is>
      </c>
      <c r="H1052" s="5" t="n">
        <v>45979.63055555556</v>
      </c>
    </row>
    <row r="1053">
      <c r="A1053" t="inlineStr">
        <is>
          <t>OS-2551</t>
        </is>
      </c>
      <c r="B1053" t="inlineStr">
        <is>
          <t>Tomada sem energia na sala P-16</t>
        </is>
      </c>
      <c r="C1053" t="inlineStr">
        <is>
          <t>Tomada de serviço da sala P-16 sem tensão.</t>
        </is>
      </c>
      <c r="D1053" t="inlineStr">
        <is>
          <t>ETA Serra Azul</t>
        </is>
      </c>
      <c r="E1053" t="inlineStr">
        <is>
          <t>Média</t>
        </is>
      </c>
      <c r="F1053" t="inlineStr">
        <is>
          <t>Heloísa Barreto</t>
        </is>
      </c>
      <c r="G1053" t="inlineStr">
        <is>
          <t>Fechada</t>
        </is>
      </c>
      <c r="H1053" s="5" t="n">
        <v>45979.97430555556</v>
      </c>
    </row>
    <row r="1054">
      <c r="A1054" t="inlineStr">
        <is>
          <t>OS-2552</t>
        </is>
      </c>
      <c r="B1054" t="inlineStr">
        <is>
          <t>Calha entupida no prédio P-19</t>
        </is>
      </c>
      <c r="C1054" t="inlineStr">
        <is>
          <t>Calha do prédio P-19 transbordando em dia de chuva.</t>
        </is>
      </c>
      <c r="D1054" t="inlineStr">
        <is>
          <t>Laboratório de Controle</t>
        </is>
      </c>
      <c r="E1054" t="inlineStr">
        <is>
          <t>Baixa</t>
        </is>
      </c>
      <c r="F1054" t="inlineStr">
        <is>
          <t>Simone Carvalho</t>
        </is>
      </c>
      <c r="G1054" t="inlineStr">
        <is>
          <t>Fechada</t>
        </is>
      </c>
      <c r="H1054" s="5" t="n">
        <v>45980.2625</v>
      </c>
    </row>
    <row r="1055">
      <c r="A1055" t="inlineStr">
        <is>
          <t>OS-2553</t>
        </is>
      </c>
      <c r="B1055" t="inlineStr">
        <is>
          <t>Portão da área F-38 emperrado</t>
        </is>
      </c>
      <c r="C1055" t="inlineStr">
        <is>
          <t>Portão de acesso da área F-38 exige força excessiva para abrir.</t>
        </is>
      </c>
      <c r="D1055" t="inlineStr">
        <is>
          <t>Reservatório Santa Luzia</t>
        </is>
      </c>
      <c r="E1055" t="inlineStr">
        <is>
          <t>Baixa</t>
        </is>
      </c>
      <c r="F1055" t="inlineStr">
        <is>
          <t>Érica Andrade</t>
        </is>
      </c>
      <c r="G1055" t="inlineStr">
        <is>
          <t>Fechada</t>
        </is>
      </c>
      <c r="H1055" s="5" t="n">
        <v>45980.5625</v>
      </c>
    </row>
    <row r="1056">
      <c r="A1056" t="inlineStr">
        <is>
          <t>OS-2554</t>
        </is>
      </c>
      <c r="B1056" t="inlineStr">
        <is>
          <t>Medidor de vazão D-22 com leitura instável</t>
        </is>
      </c>
      <c r="C1056" t="inlineStr">
        <is>
          <t>Medidor de vazão D-22 oscila sem variação de processo.</t>
        </is>
      </c>
      <c r="D1056" t="inlineStr">
        <is>
          <t>Estação de Bombeamento Vila Nova</t>
        </is>
      </c>
      <c r="E1056" t="inlineStr">
        <is>
          <t>Média</t>
        </is>
      </c>
      <c r="F1056" t="inlineStr">
        <is>
          <t>Beatriz Farias</t>
        </is>
      </c>
      <c r="G1056" t="inlineStr">
        <is>
          <t>Fechada</t>
        </is>
      </c>
      <c r="H1056" s="5" t="n">
        <v>45980.85902777778</v>
      </c>
    </row>
    <row r="1057">
      <c r="A1057" t="inlineStr">
        <is>
          <t>OS-2555</t>
        </is>
      </c>
      <c r="B1057" t="inlineStr">
        <is>
          <t>Disjuntor desarmando no painel D-33</t>
        </is>
      </c>
      <c r="C1057" t="inlineStr">
        <is>
          <t>Disjuntor do painel D-33 desarmou três vezes no turno. Carga dentro do nominal.</t>
        </is>
      </c>
      <c r="D1057" t="inlineStr">
        <is>
          <t>Reservatório Santa Luzia</t>
        </is>
      </c>
      <c r="E1057" t="inlineStr">
        <is>
          <t>Média</t>
        </is>
      </c>
      <c r="F1057" t="inlineStr">
        <is>
          <t>Ingrid Queiroz</t>
        </is>
      </c>
      <c r="G1057" t="inlineStr">
        <is>
          <t>Fechada</t>
        </is>
      </c>
      <c r="H1057" s="5" t="n">
        <v>45981.18611111111</v>
      </c>
    </row>
    <row r="1058">
      <c r="A1058" t="inlineStr">
        <is>
          <t>OS-2556</t>
        </is>
      </c>
      <c r="B1058" t="inlineStr">
        <is>
          <t>Disjuntor desarmando no painel R-17</t>
        </is>
      </c>
      <c r="C1058" t="inlineStr">
        <is>
          <t>Disjuntor do painel R-17 desarmou três vezes no turno. Carga dentro do nominal.</t>
        </is>
      </c>
      <c r="D1058" t="inlineStr">
        <is>
          <t>Subestação Sul</t>
        </is>
      </c>
      <c r="E1058" t="inlineStr">
        <is>
          <t>Alta</t>
        </is>
      </c>
      <c r="F1058" t="inlineStr">
        <is>
          <t>Cíntia Freitas</t>
        </is>
      </c>
      <c r="G1058" t="inlineStr">
        <is>
          <t>Fechada</t>
        </is>
      </c>
      <c r="H1058" s="5" t="n">
        <v>45981.48263888889</v>
      </c>
    </row>
    <row r="1059">
      <c r="A1059" t="inlineStr">
        <is>
          <t>OS-2557</t>
        </is>
      </c>
      <c r="B1059" t="inlineStr">
        <is>
          <t>Pintura descascada na estrutura V-28</t>
        </is>
      </c>
      <c r="C1059" t="inlineStr">
        <is>
          <t>Estrutura metálica V-28 com pontos de corrosão sob a pintura.</t>
        </is>
      </c>
      <c r="D1059" t="inlineStr">
        <is>
          <t>Usina Fotovoltaica Cerrado</t>
        </is>
      </c>
      <c r="E1059" t="inlineStr">
        <is>
          <t>Alta</t>
        </is>
      </c>
      <c r="F1059" t="inlineStr">
        <is>
          <t>Érica Andrade</t>
        </is>
      </c>
      <c r="G1059" t="inlineStr">
        <is>
          <t>Fechada</t>
        </is>
      </c>
      <c r="H1059" s="5" t="n">
        <v>45981.78958333333</v>
      </c>
    </row>
    <row r="1060">
      <c r="A1060" t="inlineStr">
        <is>
          <t>OS-2558</t>
        </is>
      </c>
      <c r="B1060" t="inlineStr">
        <is>
          <t>Sensor de nível sem leitura no tanque F-40</t>
        </is>
      </c>
      <c r="C1060" t="inlineStr">
        <is>
          <t>Supervisório mostra leitura congelada do sensor de nível do tanque F-40.</t>
        </is>
      </c>
      <c r="D1060" t="inlineStr">
        <is>
          <t>ETA Serra Azul</t>
        </is>
      </c>
      <c r="E1060" t="inlineStr">
        <is>
          <t>Baixa</t>
        </is>
      </c>
      <c r="F1060" t="inlineStr">
        <is>
          <t>Natália Cordeiro</t>
        </is>
      </c>
      <c r="G1060" t="inlineStr">
        <is>
          <t>Fechada</t>
        </is>
      </c>
      <c r="H1060" s="5" t="n">
        <v>45982.08402777778</v>
      </c>
    </row>
    <row r="1061">
      <c r="A1061" t="inlineStr">
        <is>
          <t>OS-2559</t>
        </is>
      </c>
      <c r="B1061" t="inlineStr">
        <is>
          <t>Ruído anormal no motor T-38</t>
        </is>
      </c>
      <c r="C1061" t="inlineStr">
        <is>
          <t>Ruído intermitente no motor T-38 durante a partida. Temperatura normal ao toque.</t>
        </is>
      </c>
      <c r="D1061" t="inlineStr">
        <is>
          <t>ETA Ribeirão Fundo</t>
        </is>
      </c>
      <c r="E1061" t="inlineStr">
        <is>
          <t>Alta</t>
        </is>
      </c>
      <c r="F1061" t="inlineStr">
        <is>
          <t>Murilo Paiva</t>
        </is>
      </c>
      <c r="G1061" t="inlineStr">
        <is>
          <t>Fechada</t>
        </is>
      </c>
      <c r="H1061" s="5" t="n">
        <v>45982.4</v>
      </c>
    </row>
    <row r="1062">
      <c r="A1062" t="inlineStr">
        <is>
          <t>OS-2560</t>
        </is>
      </c>
      <c r="B1062" t="inlineStr">
        <is>
          <t>Ar-condicionado da sala A-14 sem refrigerar</t>
        </is>
      </c>
      <c r="C1062" t="inlineStr">
        <is>
          <t>Ar-condicionado da sala de painéis A-14 ligado sem refrigerar.</t>
        </is>
      </c>
      <c r="D1062" t="inlineStr">
        <is>
          <t>Reservatório Industrial</t>
        </is>
      </c>
      <c r="E1062" t="inlineStr">
        <is>
          <t>Média</t>
        </is>
      </c>
      <c r="F1062" t="inlineStr">
        <is>
          <t>Otávio Lacerda</t>
        </is>
      </c>
      <c r="G1062" t="inlineStr">
        <is>
          <t>Fechada</t>
        </is>
      </c>
      <c r="H1062" s="5" t="n">
        <v>45982.71666666667</v>
      </c>
    </row>
    <row r="1063">
      <c r="A1063" t="inlineStr">
        <is>
          <t>OS-2561</t>
        </is>
      </c>
      <c r="B1063" t="inlineStr">
        <is>
          <t>Calha entupida no prédio F-27</t>
        </is>
      </c>
      <c r="C1063" t="inlineStr">
        <is>
          <t>Calha do prédio F-27 transbordando em dia de chuva.</t>
        </is>
      </c>
      <c r="D1063" t="inlineStr">
        <is>
          <t>Captação Rio Verde</t>
        </is>
      </c>
      <c r="E1063" t="inlineStr">
        <is>
          <t>Baixa</t>
        </is>
      </c>
      <c r="F1063" t="inlineStr">
        <is>
          <t>Fernanda Quintela</t>
        </is>
      </c>
      <c r="G1063" t="inlineStr">
        <is>
          <t>Fechada</t>
        </is>
      </c>
      <c r="H1063" s="5" t="n">
        <v>45982.98680555556</v>
      </c>
    </row>
    <row r="1064">
      <c r="A1064" t="inlineStr">
        <is>
          <t>OS-2562</t>
        </is>
      </c>
      <c r="B1064" t="inlineStr">
        <is>
          <t>Disjuntor desarmando no painel F-15</t>
        </is>
      </c>
      <c r="C1064" t="inlineStr">
        <is>
          <t>Disjuntor do painel F-15 desarmou três vezes no turno. Carga dentro do nominal.</t>
        </is>
      </c>
      <c r="D1064" t="inlineStr">
        <is>
          <t>ETE Rio Claro</t>
        </is>
      </c>
      <c r="E1064" t="inlineStr">
        <is>
          <t>Alta</t>
        </is>
      </c>
      <c r="F1064" t="inlineStr">
        <is>
          <t>Caio Rangel</t>
        </is>
      </c>
      <c r="G1064" t="inlineStr">
        <is>
          <t>Fechada</t>
        </is>
      </c>
      <c r="H1064" s="5" t="n">
        <v>45983.32638888889</v>
      </c>
    </row>
    <row r="1065">
      <c r="A1065" t="inlineStr">
        <is>
          <t>OS-2563</t>
        </is>
      </c>
      <c r="B1065" t="inlineStr">
        <is>
          <t>Sensor de nível sem leitura no tanque E-04</t>
        </is>
      </c>
      <c r="C1065" t="inlineStr">
        <is>
          <t>Supervisório mostra leitura congelada do sensor de nível do tanque E-04.</t>
        </is>
      </c>
      <c r="D1065" t="inlineStr">
        <is>
          <t>ETA Ribeirão Fundo</t>
        </is>
      </c>
      <c r="E1065" t="inlineStr">
        <is>
          <t>Média</t>
        </is>
      </c>
      <c r="F1065" t="inlineStr">
        <is>
          <t>Larissa Bezerra</t>
        </is>
      </c>
      <c r="G1065" t="inlineStr">
        <is>
          <t>Fechada</t>
        </is>
      </c>
      <c r="H1065" s="5" t="n">
        <v>45983.62569444445</v>
      </c>
    </row>
    <row r="1066">
      <c r="A1066" t="inlineStr">
        <is>
          <t>OS-2564</t>
        </is>
      </c>
      <c r="B1066" t="inlineStr">
        <is>
          <t>Calha entupida no prédio R-12</t>
        </is>
      </c>
      <c r="C1066" t="inlineStr">
        <is>
          <t>Calha do prédio R-12 transbordando em dia de chuva.</t>
        </is>
      </c>
      <c r="D1066" t="inlineStr">
        <is>
          <t>Estação Elevatória Porto</t>
        </is>
      </c>
      <c r="E1066" t="inlineStr">
        <is>
          <t>Média</t>
        </is>
      </c>
      <c r="F1066" t="inlineStr">
        <is>
          <t>Cíntia Freitas</t>
        </is>
      </c>
      <c r="G1066" t="inlineStr">
        <is>
          <t>Fechada</t>
        </is>
      </c>
      <c r="H1066" s="5" t="n">
        <v>45983.90208333333</v>
      </c>
    </row>
    <row r="1067">
      <c r="A1067" t="inlineStr">
        <is>
          <t>OS-2565</t>
        </is>
      </c>
      <c r="B1067" t="inlineStr">
        <is>
          <t>Calha entupida no prédio R-34</t>
        </is>
      </c>
      <c r="C1067" t="inlineStr">
        <is>
          <t>Calha do prédio R-34 transbordando em dia de chuva.</t>
        </is>
      </c>
      <c r="D1067" t="inlineStr">
        <is>
          <t>ETE Vale do Sol</t>
        </is>
      </c>
      <c r="E1067" t="inlineStr">
        <is>
          <t>Baixa</t>
        </is>
      </c>
      <c r="F1067" t="inlineStr">
        <is>
          <t>Thiago Bastos</t>
        </is>
      </c>
      <c r="G1067" t="inlineStr">
        <is>
          <t>Fechada</t>
        </is>
      </c>
      <c r="H1067" s="5" t="n">
        <v>45984.21388888889</v>
      </c>
    </row>
    <row r="1068">
      <c r="A1068" t="inlineStr">
        <is>
          <t>OS-2566</t>
        </is>
      </c>
      <c r="B1068" t="inlineStr">
        <is>
          <t>Falha de comunicação no CLP C-36</t>
        </is>
      </c>
      <c r="C1068" t="inlineStr">
        <is>
          <t>CLP C-36 perde comunicação com o supervisório em intervalos irregulares.</t>
        </is>
      </c>
      <c r="D1068" t="inlineStr">
        <is>
          <t>Estação Elevatória Oeste</t>
        </is>
      </c>
      <c r="E1068" t="inlineStr">
        <is>
          <t>Baixa</t>
        </is>
      </c>
      <c r="F1068" t="inlineStr">
        <is>
          <t>Caio Rangel</t>
        </is>
      </c>
      <c r="G1068" t="inlineStr">
        <is>
          <t>Fechada</t>
        </is>
      </c>
      <c r="H1068" s="5" t="n">
        <v>45984.53125</v>
      </c>
    </row>
    <row r="1069">
      <c r="A1069" t="inlineStr">
        <is>
          <t>OS-2567</t>
        </is>
      </c>
      <c r="B1069" t="inlineStr">
        <is>
          <t>Pintura descascada na estrutura T-22</t>
        </is>
      </c>
      <c r="C1069" t="inlineStr">
        <is>
          <t>Estrutura metálica T-22 com pontos de corrosão sob a pintura.</t>
        </is>
      </c>
      <c r="D1069" t="inlineStr">
        <is>
          <t>Estação de Bombeamento Três Pontes</t>
        </is>
      </c>
      <c r="E1069" t="inlineStr">
        <is>
          <t>Alta</t>
        </is>
      </c>
      <c r="F1069" t="inlineStr">
        <is>
          <t>Thiago Bastos</t>
        </is>
      </c>
      <c r="G1069" t="inlineStr">
        <is>
          <t>Fechada</t>
        </is>
      </c>
      <c r="H1069" s="5" t="n">
        <v>45984.84652777778</v>
      </c>
    </row>
    <row r="1070">
      <c r="A1070" t="inlineStr">
        <is>
          <t>OS-2568</t>
        </is>
      </c>
      <c r="B1070" t="inlineStr">
        <is>
          <t>Tomada sem energia na sala E-13</t>
        </is>
      </c>
      <c r="C1070" t="inlineStr">
        <is>
          <t>Tomada de serviço da sala E-13 sem tensão.</t>
        </is>
      </c>
      <c r="D1070" t="inlineStr">
        <is>
          <t>Subestação Sul</t>
        </is>
      </c>
      <c r="E1070" t="inlineStr">
        <is>
          <t>Média</t>
        </is>
      </c>
      <c r="F1070" t="inlineStr">
        <is>
          <t>Juliana Aguiar</t>
        </is>
      </c>
      <c r="G1070" t="inlineStr">
        <is>
          <t>Fechada</t>
        </is>
      </c>
      <c r="H1070" s="5" t="n">
        <v>45985.14027777778</v>
      </c>
    </row>
    <row r="1071">
      <c r="A1071" t="inlineStr">
        <is>
          <t>OS-2569</t>
        </is>
      </c>
      <c r="B1071" t="inlineStr">
        <is>
          <t>Pintura descascada na estrutura H-28</t>
        </is>
      </c>
      <c r="C1071" t="inlineStr">
        <is>
          <t>Estrutura metálica H-28 com pontos de corrosão sob a pintura.</t>
        </is>
      </c>
      <c r="D1071" t="inlineStr">
        <is>
          <t>Laboratório de Controle</t>
        </is>
      </c>
      <c r="E1071" t="inlineStr">
        <is>
          <t>Média</t>
        </is>
      </c>
      <c r="F1071" t="inlineStr">
        <is>
          <t>Wesley Cardoso</t>
        </is>
      </c>
      <c r="G1071" t="inlineStr">
        <is>
          <t>Fechada</t>
        </is>
      </c>
      <c r="H1071" s="5" t="n">
        <v>45985.45069444444</v>
      </c>
    </row>
    <row r="1072">
      <c r="A1072" t="inlineStr">
        <is>
          <t>OS-2570</t>
        </is>
      </c>
      <c r="B1072" t="inlineStr">
        <is>
          <t>Infiltração na parede da casa de bombas E-25</t>
        </is>
      </c>
      <c r="C1072" t="inlineStr">
        <is>
          <t>Mancha de umidade crescente na parede da casa de bombas E-25.</t>
        </is>
      </c>
      <c r="D1072" t="inlineStr">
        <is>
          <t>ETE Jardim Bela Vista</t>
        </is>
      </c>
      <c r="E1072" t="inlineStr">
        <is>
          <t>Alta</t>
        </is>
      </c>
      <c r="F1072" t="inlineStr">
        <is>
          <t>Igor Fonseca</t>
        </is>
      </c>
      <c r="G1072" t="inlineStr">
        <is>
          <t>Fechada</t>
        </is>
      </c>
      <c r="H1072" s="5" t="n">
        <v>45985.73541666667</v>
      </c>
    </row>
    <row r="1073">
      <c r="A1073" t="inlineStr">
        <is>
          <t>OS-2571</t>
        </is>
      </c>
      <c r="B1073" t="inlineStr">
        <is>
          <t>Calha entupida no prédio H-15</t>
        </is>
      </c>
      <c r="C1073" t="inlineStr">
        <is>
          <t>Calha do prédio H-15 transbordando em dia de chuva.</t>
        </is>
      </c>
      <c r="D1073" t="inlineStr">
        <is>
          <t>Base Operacional Sul</t>
        </is>
      </c>
      <c r="E1073" t="inlineStr">
        <is>
          <t>Baixa</t>
        </is>
      </c>
      <c r="F1073" t="inlineStr">
        <is>
          <t>Yara Medeiros</t>
        </is>
      </c>
      <c r="G1073" t="inlineStr">
        <is>
          <t>Fechada</t>
        </is>
      </c>
      <c r="H1073" s="5" t="n">
        <v>45986.05902777778</v>
      </c>
    </row>
    <row r="1074">
      <c r="A1074" t="inlineStr">
        <is>
          <t>OS-2572</t>
        </is>
      </c>
      <c r="B1074" t="inlineStr">
        <is>
          <t>Calha entupida no prédio P-23</t>
        </is>
      </c>
      <c r="C1074" t="inlineStr">
        <is>
          <t>Calha do prédio P-23 transbordando em dia de chuva.</t>
        </is>
      </c>
      <c r="D1074" t="inlineStr">
        <is>
          <t>Adutora Tronco Norte</t>
        </is>
      </c>
      <c r="E1074" t="inlineStr">
        <is>
          <t>Média</t>
        </is>
      </c>
      <c r="F1074" t="inlineStr">
        <is>
          <t>Ingrid Queiroz</t>
        </is>
      </c>
      <c r="G1074" t="inlineStr">
        <is>
          <t>Fechada</t>
        </is>
      </c>
      <c r="H1074" s="5" t="n">
        <v>45986.36805555555</v>
      </c>
    </row>
    <row r="1075">
      <c r="A1075" t="inlineStr">
        <is>
          <t>OS-2573</t>
        </is>
      </c>
      <c r="B1075" t="inlineStr">
        <is>
          <t>Pintura descascada na estrutura G-24</t>
        </is>
      </c>
      <c r="C1075" t="inlineStr">
        <is>
          <t>Estrutura metálica G-24 com pontos de corrosão sob a pintura.</t>
        </is>
      </c>
      <c r="D1075" t="inlineStr">
        <is>
          <t>Usina Fotovoltaica Cerrado</t>
        </is>
      </c>
      <c r="E1075" t="inlineStr">
        <is>
          <t>Baixa</t>
        </is>
      </c>
      <c r="F1075" t="inlineStr">
        <is>
          <t>Lívia Montenegro</t>
        </is>
      </c>
      <c r="G1075" t="inlineStr">
        <is>
          <t>Fechada</t>
        </is>
      </c>
      <c r="H1075" s="5" t="n">
        <v>45986.64930555555</v>
      </c>
    </row>
    <row r="1076">
      <c r="A1076" t="inlineStr">
        <is>
          <t>OS-2574</t>
        </is>
      </c>
      <c r="B1076" t="inlineStr">
        <is>
          <t>Válvula D-33 não fecha por completo</t>
        </is>
      </c>
      <c r="C1076" t="inlineStr">
        <is>
          <t>Válvula D-33 com passagem residual mesmo totalmente fechada. Possível desgaste da sede.</t>
        </is>
      </c>
      <c r="D1076" t="inlineStr">
        <is>
          <t>Oficina Mecânica Central</t>
        </is>
      </c>
      <c r="E1076" t="inlineStr">
        <is>
          <t>Alta</t>
        </is>
      </c>
      <c r="F1076" t="inlineStr">
        <is>
          <t>Natália Cordeiro</t>
        </is>
      </c>
      <c r="G1076" t="inlineStr">
        <is>
          <t>Fechada</t>
        </is>
      </c>
      <c r="H1076" s="5" t="n">
        <v>45986.96388888889</v>
      </c>
    </row>
    <row r="1077">
      <c r="A1077" t="inlineStr">
        <is>
          <t>OS-2575</t>
        </is>
      </c>
      <c r="B1077" t="inlineStr">
        <is>
          <t>Tomada sem energia na sala C-25</t>
        </is>
      </c>
      <c r="C1077" t="inlineStr">
        <is>
          <t>Tomada de serviço da sala C-25 sem tensão.</t>
        </is>
      </c>
      <c r="D1077" t="inlineStr">
        <is>
          <t>Reservatório Industrial</t>
        </is>
      </c>
      <c r="E1077" t="inlineStr">
        <is>
          <t>Alta</t>
        </is>
      </c>
      <c r="F1077" t="inlineStr">
        <is>
          <t>Rafael Torres</t>
        </is>
      </c>
      <c r="G1077" t="inlineStr">
        <is>
          <t>Fechada</t>
        </is>
      </c>
      <c r="H1077" s="5" t="n">
        <v>45987.29930555556</v>
      </c>
    </row>
    <row r="1078">
      <c r="A1078" t="inlineStr">
        <is>
          <t>OS-2576</t>
        </is>
      </c>
      <c r="B1078" t="inlineStr">
        <is>
          <t>Falha de comunicação no CLP G-29</t>
        </is>
      </c>
      <c r="C1078" t="inlineStr">
        <is>
          <t>CLP G-29 perde comunicação com o supervisório em intervalos irregulares.</t>
        </is>
      </c>
      <c r="D1078" t="inlineStr">
        <is>
          <t>Estação de Bombeamento Três Pontes</t>
        </is>
      </c>
      <c r="E1078" t="inlineStr">
        <is>
          <t>Crítica</t>
        </is>
      </c>
      <c r="F1078" t="inlineStr">
        <is>
          <t>Zeca Moraes</t>
        </is>
      </c>
      <c r="G1078" t="inlineStr">
        <is>
          <t>Fechada</t>
        </is>
      </c>
      <c r="H1078" s="5" t="n">
        <v>45987.57708333333</v>
      </c>
    </row>
    <row r="1079">
      <c r="A1079" t="inlineStr">
        <is>
          <t>OS-2577</t>
        </is>
      </c>
      <c r="B1079" t="inlineStr">
        <is>
          <t>Correia do ventilador F-31 desgastada</t>
        </is>
      </c>
      <c r="C1079" t="inlineStr">
        <is>
          <t>Correia do ventilador F-31 com trincas visíveis e folga excessiva.</t>
        </is>
      </c>
      <c r="D1079" t="inlineStr">
        <is>
          <t>Base Operacional Sul</t>
        </is>
      </c>
      <c r="E1079" t="inlineStr">
        <is>
          <t>Média</t>
        </is>
      </c>
      <c r="F1079" t="inlineStr">
        <is>
          <t>Flávio Gusmão</t>
        </is>
      </c>
      <c r="G1079" t="inlineStr">
        <is>
          <t>Fechada</t>
        </is>
      </c>
      <c r="H1079" s="5" t="n">
        <v>45987.90208333333</v>
      </c>
    </row>
    <row r="1080">
      <c r="A1080" t="inlineStr">
        <is>
          <t>OS-2578</t>
        </is>
      </c>
      <c r="B1080" t="inlineStr">
        <is>
          <t>Pintura descascada na estrutura C-04</t>
        </is>
      </c>
      <c r="C1080" t="inlineStr">
        <is>
          <t>Estrutura metálica C-04 com pontos de corrosão sob a pintura.</t>
        </is>
      </c>
      <c r="D1080" t="inlineStr">
        <is>
          <t>Estação Elevatória Oeste</t>
        </is>
      </c>
      <c r="E1080" t="inlineStr">
        <is>
          <t>Média</t>
        </is>
      </c>
      <c r="F1080" t="inlineStr">
        <is>
          <t>Juliana Aguiar</t>
        </is>
      </c>
      <c r="G1080" t="inlineStr">
        <is>
          <t>Fechada</t>
        </is>
      </c>
      <c r="H1080" s="5" t="n">
        <v>45988.18611111111</v>
      </c>
    </row>
    <row r="1081">
      <c r="A1081" t="inlineStr">
        <is>
          <t>OS-2579</t>
        </is>
      </c>
      <c r="B1081" t="inlineStr">
        <is>
          <t>Lâmpada queimada na área D-05</t>
        </is>
      </c>
      <c r="C1081" t="inlineStr">
        <is>
          <t>Iluminação da área D-05 sem funcionar. Reposição de lâmpada e conferência do reator.</t>
        </is>
      </c>
      <c r="D1081" t="inlineStr">
        <is>
          <t>Booster Morada do Sol</t>
        </is>
      </c>
      <c r="E1081" t="inlineStr">
        <is>
          <t>Alta</t>
        </is>
      </c>
      <c r="F1081" t="inlineStr">
        <is>
          <t>Bernardo Leal</t>
        </is>
      </c>
      <c r="G1081" t="inlineStr">
        <is>
          <t>Fechada</t>
        </is>
      </c>
      <c r="H1081" s="5" t="n">
        <v>45988.5125</v>
      </c>
    </row>
    <row r="1082">
      <c r="A1082" t="inlineStr">
        <is>
          <t>OS-2580</t>
        </is>
      </c>
      <c r="B1082" t="inlineStr">
        <is>
          <t>Falha de comunicação no CLP D-18</t>
        </is>
      </c>
      <c r="C1082" t="inlineStr">
        <is>
          <t>CLP D-18 perde comunicação com o supervisório em intervalos irregulares.</t>
        </is>
      </c>
      <c r="D1082" t="inlineStr">
        <is>
          <t>ETE Rio Claro</t>
        </is>
      </c>
      <c r="E1082" t="inlineStr">
        <is>
          <t>Média</t>
        </is>
      </c>
      <c r="F1082" t="inlineStr">
        <is>
          <t>Otávio Lacerda</t>
        </is>
      </c>
      <c r="G1082" t="inlineStr">
        <is>
          <t>Fechada</t>
        </is>
      </c>
      <c r="H1082" s="5" t="n">
        <v>45988.78680555556</v>
      </c>
    </row>
    <row r="1083">
      <c r="A1083" t="inlineStr">
        <is>
          <t>OS-2581</t>
        </is>
      </c>
      <c r="B1083" t="inlineStr">
        <is>
          <t>Portão da área C-03 emperrado</t>
        </is>
      </c>
      <c r="C1083" t="inlineStr">
        <is>
          <t>Portão de acesso da área C-03 exige força excessiva para abrir.</t>
        </is>
      </c>
      <c r="D1083" t="inlineStr">
        <is>
          <t>Booster Morada do Sol</t>
        </is>
      </c>
      <c r="E1083" t="inlineStr">
        <is>
          <t>Alta</t>
        </is>
      </c>
      <c r="F1083" t="inlineStr">
        <is>
          <t>Úrsula Maia</t>
        </is>
      </c>
      <c r="G1083" t="inlineStr">
        <is>
          <t>Fechada</t>
        </is>
      </c>
      <c r="H1083" s="5" t="n">
        <v>45989.09722222222</v>
      </c>
    </row>
    <row r="1084">
      <c r="A1084" t="inlineStr">
        <is>
          <t>OS-2582</t>
        </is>
      </c>
      <c r="B1084" t="inlineStr">
        <is>
          <t>Vazamento na bomba C-15</t>
        </is>
      </c>
      <c r="C1084" t="inlineStr">
        <is>
          <t>Vazamento pelo selo mecânico da bomba C-15. Piso molhado ao redor da base.</t>
        </is>
      </c>
      <c r="D1084" t="inlineStr">
        <is>
          <t>Pátio de Veículos</t>
        </is>
      </c>
      <c r="E1084" t="inlineStr">
        <is>
          <t>Alta</t>
        </is>
      </c>
      <c r="F1084" t="inlineStr">
        <is>
          <t>Úrsula Maia</t>
        </is>
      </c>
      <c r="G1084" t="inlineStr">
        <is>
          <t>Fechada</t>
        </is>
      </c>
      <c r="H1084" s="5" t="n">
        <v>45989.40069444444</v>
      </c>
    </row>
    <row r="1085">
      <c r="A1085" t="inlineStr">
        <is>
          <t>OS-2583</t>
        </is>
      </c>
      <c r="B1085" t="inlineStr">
        <is>
          <t>Correia do ventilador M-11 desgastada</t>
        </is>
      </c>
      <c r="C1085" t="inlineStr">
        <is>
          <t>Correia do ventilador M-11 com trincas visíveis e folga excessiva.</t>
        </is>
      </c>
      <c r="D1085" t="inlineStr">
        <is>
          <t>Subestação Leste</t>
        </is>
      </c>
      <c r="E1085" t="inlineStr">
        <is>
          <t>Média</t>
        </is>
      </c>
      <c r="F1085" t="inlineStr">
        <is>
          <t>Jonas Teles</t>
        </is>
      </c>
      <c r="G1085" t="inlineStr">
        <is>
          <t>Fechada</t>
        </is>
      </c>
      <c r="H1085" s="5" t="n">
        <v>45989.72916666666</v>
      </c>
    </row>
    <row r="1086">
      <c r="A1086" t="inlineStr">
        <is>
          <t>OS-2584</t>
        </is>
      </c>
      <c r="B1086" t="inlineStr">
        <is>
          <t>Vazamento na bomba A-27</t>
        </is>
      </c>
      <c r="C1086" t="inlineStr">
        <is>
          <t>Vazamento pelo selo mecânico da bomba A-27. Piso molhado ao redor da base.</t>
        </is>
      </c>
      <c r="D1086" t="inlineStr">
        <is>
          <t>Estação Elevatória Leste</t>
        </is>
      </c>
      <c r="E1086" t="inlineStr">
        <is>
          <t>Baixa</t>
        </is>
      </c>
      <c r="F1086" t="inlineStr">
        <is>
          <t>Eduardo Salles</t>
        </is>
      </c>
      <c r="G1086" t="inlineStr">
        <is>
          <t>Fechada</t>
        </is>
      </c>
      <c r="H1086" s="5" t="n">
        <v>45990.02152777778</v>
      </c>
    </row>
    <row r="1087">
      <c r="A1087" t="inlineStr">
        <is>
          <t>OS-2585</t>
        </is>
      </c>
      <c r="B1087" t="inlineStr">
        <is>
          <t>Lâmpada queimada na área M-37</t>
        </is>
      </c>
      <c r="C1087" t="inlineStr">
        <is>
          <t>Iluminação da área M-37 sem funcionar. Reposição de lâmpada e conferência do reator.</t>
        </is>
      </c>
      <c r="D1087" t="inlineStr">
        <is>
          <t>Base Operacional Serra</t>
        </is>
      </c>
      <c r="E1087" t="inlineStr">
        <is>
          <t>Média</t>
        </is>
      </c>
      <c r="F1087" t="inlineStr">
        <is>
          <t>Murilo Paiva</t>
        </is>
      </c>
      <c r="G1087" t="inlineStr">
        <is>
          <t>Fechada</t>
        </is>
      </c>
      <c r="H1087" s="5" t="n">
        <v>45990.33958333333</v>
      </c>
    </row>
    <row r="1088">
      <c r="A1088" t="inlineStr">
        <is>
          <t>OS-2586</t>
        </is>
      </c>
      <c r="B1088" t="inlineStr">
        <is>
          <t>Falha de comunicação no CLP H-20</t>
        </is>
      </c>
      <c r="C1088" t="inlineStr">
        <is>
          <t>CLP H-20 perde comunicação com o supervisório em intervalos irregulares.</t>
        </is>
      </c>
      <c r="D1088" t="inlineStr">
        <is>
          <t>Almoxarifado Central</t>
        </is>
      </c>
      <c r="E1088" t="inlineStr">
        <is>
          <t>Média</t>
        </is>
      </c>
      <c r="F1088" t="inlineStr">
        <is>
          <t>Jonas Teles</t>
        </is>
      </c>
      <c r="G1088" t="inlineStr">
        <is>
          <t>Fechada</t>
        </is>
      </c>
      <c r="H1088" s="5" t="n">
        <v>45990.62083333333</v>
      </c>
    </row>
    <row r="1089">
      <c r="A1089" t="inlineStr">
        <is>
          <t>OS-2587</t>
        </is>
      </c>
      <c r="B1089" t="inlineStr">
        <is>
          <t>Válvula A-11 não fecha por completo</t>
        </is>
      </c>
      <c r="C1089" t="inlineStr">
        <is>
          <t>Válvula A-11 com passagem residual mesmo totalmente fechada. Possível desgaste da sede.</t>
        </is>
      </c>
      <c r="D1089" t="inlineStr">
        <is>
          <t>Booster Morada do Sol</t>
        </is>
      </c>
      <c r="E1089" t="inlineStr">
        <is>
          <t>Alta</t>
        </is>
      </c>
      <c r="F1089" t="inlineStr">
        <is>
          <t>Juliana Aguiar</t>
        </is>
      </c>
      <c r="G1089" t="inlineStr">
        <is>
          <t>Fechada</t>
        </is>
      </c>
      <c r="H1089" s="5" t="n">
        <v>45990.92986111111</v>
      </c>
    </row>
    <row r="1090">
      <c r="A1090" t="inlineStr">
        <is>
          <t>OS-2588</t>
        </is>
      </c>
      <c r="B1090" t="inlineStr">
        <is>
          <t>Pintura descascada na estrutura M-03</t>
        </is>
      </c>
      <c r="C1090" t="inlineStr">
        <is>
          <t>Estrutura metálica M-03 com pontos de corrosão sob a pintura.</t>
        </is>
      </c>
      <c r="D1090" t="inlineStr">
        <is>
          <t>Oficina Mecânica Central</t>
        </is>
      </c>
      <c r="E1090" t="inlineStr">
        <is>
          <t>Crítica</t>
        </is>
      </c>
      <c r="F1090" t="inlineStr">
        <is>
          <t>Glória Sampaio</t>
        </is>
      </c>
      <c r="G1090" t="inlineStr">
        <is>
          <t>Fechada</t>
        </is>
      </c>
      <c r="H1090" s="5" t="n">
        <v>45991.25694444445</v>
      </c>
    </row>
    <row r="1091">
      <c r="A1091" t="inlineStr">
        <is>
          <t>OS-2589</t>
        </is>
      </c>
      <c r="B1091" t="inlineStr">
        <is>
          <t>Vazamento de óleo no redutor E-14</t>
        </is>
      </c>
      <c r="C1091" t="inlineStr">
        <is>
          <t>Gotejamento de óleo no redutor E-14. Nível ainda dentro da faixa.</t>
        </is>
      </c>
      <c r="D1091" t="inlineStr">
        <is>
          <t>Torre de Telecomunicação Morro Alto</t>
        </is>
      </c>
      <c r="E1091" t="inlineStr">
        <is>
          <t>Baixa</t>
        </is>
      </c>
      <c r="F1091" t="inlineStr">
        <is>
          <t>Marcos Vinícius Rocha</t>
        </is>
      </c>
      <c r="G1091" t="inlineStr">
        <is>
          <t>Fechada</t>
        </is>
      </c>
      <c r="H1091" s="5" t="n">
        <v>45991.54236111111</v>
      </c>
    </row>
    <row r="1092">
      <c r="A1092" t="inlineStr">
        <is>
          <t>OS-2590</t>
        </is>
      </c>
      <c r="B1092" t="inlineStr">
        <is>
          <t>Medidor de vazão R-36 com leitura instável</t>
        </is>
      </c>
      <c r="C1092" t="inlineStr">
        <is>
          <t>Medidor de vazão R-36 oscila sem variação de processo.</t>
        </is>
      </c>
      <c r="D1092" t="inlineStr">
        <is>
          <t>Booster Morada do Sol</t>
        </is>
      </c>
      <c r="E1092" t="inlineStr">
        <is>
          <t>Crítica</t>
        </is>
      </c>
      <c r="F1092" t="inlineStr">
        <is>
          <t>Marcos Vinícius Rocha</t>
        </is>
      </c>
      <c r="G1092" t="inlineStr">
        <is>
          <t>Fechada</t>
        </is>
      </c>
      <c r="H1092" s="5" t="n">
        <v>45991.86666666667</v>
      </c>
    </row>
    <row r="1093">
      <c r="A1093" t="inlineStr">
        <is>
          <t>OS-2591</t>
        </is>
      </c>
      <c r="B1093" t="inlineStr">
        <is>
          <t>Vazamento na bomba H-35</t>
        </is>
      </c>
      <c r="C1093" t="inlineStr">
        <is>
          <t>Vazamento pelo selo mecânico da bomba H-35. Piso molhado ao redor da base.</t>
        </is>
      </c>
      <c r="D1093" t="inlineStr">
        <is>
          <t>Oficina Mecânica Central</t>
        </is>
      </c>
      <c r="E1093" t="inlineStr">
        <is>
          <t>Baixa</t>
        </is>
      </c>
      <c r="F1093" t="inlineStr">
        <is>
          <t>Vagner Pacheco</t>
        </is>
      </c>
      <c r="G1093" t="inlineStr">
        <is>
          <t>Fechada</t>
        </is>
      </c>
      <c r="H1093" s="5" t="n">
        <v>45992.13958333333</v>
      </c>
    </row>
    <row r="1094">
      <c r="A1094" t="inlineStr">
        <is>
          <t>OS-2592</t>
        </is>
      </c>
      <c r="B1094" t="inlineStr">
        <is>
          <t>Aquecimento no mancal do motor G-35</t>
        </is>
      </c>
      <c r="C1094" t="inlineStr">
        <is>
          <t>Mancal do motor G-35 acima da temperatura usual na medição com termômetro infravermelho.</t>
        </is>
      </c>
      <c r="D1094" t="inlineStr">
        <is>
          <t>Adutora Tronco Sul</t>
        </is>
      </c>
      <c r="E1094" t="inlineStr">
        <is>
          <t>Média</t>
        </is>
      </c>
      <c r="F1094" t="inlineStr">
        <is>
          <t>Glória Sampaio</t>
        </is>
      </c>
      <c r="G1094" t="inlineStr">
        <is>
          <t>Fechada</t>
        </is>
      </c>
      <c r="H1094" s="5" t="n">
        <v>45992.47083333333</v>
      </c>
    </row>
    <row r="1095">
      <c r="A1095" t="inlineStr">
        <is>
          <t>OS-2593</t>
        </is>
      </c>
      <c r="B1095" t="inlineStr">
        <is>
          <t>Infiltração na parede da casa de bombas C-24</t>
        </is>
      </c>
      <c r="C1095" t="inlineStr">
        <is>
          <t>Mancha de umidade crescente na parede da casa de bombas C-24.</t>
        </is>
      </c>
      <c r="D1095" t="inlineStr">
        <is>
          <t>ETA Ribeirão Fundo</t>
        </is>
      </c>
      <c r="E1095" t="inlineStr">
        <is>
          <t>Média</t>
        </is>
      </c>
      <c r="F1095" t="inlineStr">
        <is>
          <t>Daniela Pires</t>
        </is>
      </c>
      <c r="G1095" t="inlineStr">
        <is>
          <t>Fechada</t>
        </is>
      </c>
      <c r="H1095" s="5" t="n">
        <v>45992.77083333334</v>
      </c>
    </row>
    <row r="1096">
      <c r="A1096" t="inlineStr">
        <is>
          <t>OS-2594</t>
        </is>
      </c>
      <c r="B1096" t="inlineStr">
        <is>
          <t>Exaustor F-06 parado</t>
        </is>
      </c>
      <c r="C1096" t="inlineStr">
        <is>
          <t>Exaustor F-06 não parte. Fusível íntegro.</t>
        </is>
      </c>
      <c r="D1096" t="inlineStr">
        <is>
          <t>Base Operacional Norte</t>
        </is>
      </c>
      <c r="E1096" t="inlineStr">
        <is>
          <t>Média</t>
        </is>
      </c>
      <c r="F1096" t="inlineStr">
        <is>
          <t>Natália Cordeiro</t>
        </is>
      </c>
      <c r="G1096" t="inlineStr">
        <is>
          <t>Fechada</t>
        </is>
      </c>
      <c r="H1096" s="5" t="n">
        <v>45993.08819444444</v>
      </c>
    </row>
    <row r="1097">
      <c r="A1097" t="inlineStr">
        <is>
          <t>OS-2595</t>
        </is>
      </c>
      <c r="B1097" t="inlineStr">
        <is>
          <t>Correia do ventilador F-14 desgastada</t>
        </is>
      </c>
      <c r="C1097" t="inlineStr">
        <is>
          <t>Correia do ventilador F-14 com trincas visíveis e folga excessiva.</t>
        </is>
      </c>
      <c r="D1097" t="inlineStr">
        <is>
          <t>Adutora Tronco Sul</t>
        </is>
      </c>
      <c r="E1097" t="inlineStr">
        <is>
          <t>Média</t>
        </is>
      </c>
      <c r="F1097" t="inlineStr">
        <is>
          <t>Natália Cordeiro</t>
        </is>
      </c>
      <c r="G1097" t="inlineStr">
        <is>
          <t>Fechada</t>
        </is>
      </c>
      <c r="H1097" s="5" t="n">
        <v>45993.36111111111</v>
      </c>
    </row>
    <row r="1098">
      <c r="A1098" t="inlineStr">
        <is>
          <t>OS-2596</t>
        </is>
      </c>
      <c r="B1098" t="inlineStr">
        <is>
          <t>Portão da área F-35 emperrado</t>
        </is>
      </c>
      <c r="C1098" t="inlineStr">
        <is>
          <t>Portão de acesso da área F-35 exige força excessiva para abrir.</t>
        </is>
      </c>
      <c r="D1098" t="inlineStr">
        <is>
          <t>Sede Administrativa</t>
        </is>
      </c>
      <c r="E1098" t="inlineStr">
        <is>
          <t>Média</t>
        </is>
      </c>
      <c r="F1098" t="inlineStr">
        <is>
          <t>Natália Cordeiro</t>
        </is>
      </c>
      <c r="G1098" t="inlineStr">
        <is>
          <t>Fechada</t>
        </is>
      </c>
      <c r="H1098" s="5" t="n">
        <v>45993.69583333333</v>
      </c>
    </row>
    <row r="1099">
      <c r="A1099" t="inlineStr">
        <is>
          <t>OS-2597</t>
        </is>
      </c>
      <c r="B1099" t="inlineStr">
        <is>
          <t>Ruído anormal no motor G-11</t>
        </is>
      </c>
      <c r="C1099" t="inlineStr">
        <is>
          <t>Ruído intermitente no motor G-11 durante a partida. Temperatura normal ao toque.</t>
        </is>
      </c>
      <c r="D1099" t="inlineStr">
        <is>
          <t>Centro de Operações</t>
        </is>
      </c>
      <c r="E1099" t="inlineStr">
        <is>
          <t>Baixa</t>
        </is>
      </c>
      <c r="F1099" t="inlineStr">
        <is>
          <t>Marcos Vinícius Rocha</t>
        </is>
      </c>
      <c r="G1099" t="inlineStr">
        <is>
          <t>Fechada</t>
        </is>
      </c>
      <c r="H1099" s="5" t="n">
        <v>45993.96944444445</v>
      </c>
    </row>
    <row r="1100">
      <c r="A1100" t="inlineStr">
        <is>
          <t>OS-2598</t>
        </is>
      </c>
      <c r="B1100" t="inlineStr">
        <is>
          <t>Disjuntor desarmando no painel M-12</t>
        </is>
      </c>
      <c r="C1100" t="inlineStr">
        <is>
          <t>Disjuntor do painel M-12 desarmou três vezes no turno. Carga dentro do nominal.</t>
        </is>
      </c>
      <c r="D1100" t="inlineStr">
        <is>
          <t>Galpão de Materiais</t>
        </is>
      </c>
      <c r="E1100" t="inlineStr">
        <is>
          <t>Média</t>
        </is>
      </c>
      <c r="F1100" t="inlineStr">
        <is>
          <t>Kleber Antunes</t>
        </is>
      </c>
      <c r="G1100" t="inlineStr">
        <is>
          <t>Fechada</t>
        </is>
      </c>
      <c r="H1100" s="5" t="n">
        <v>45994.30625</v>
      </c>
    </row>
    <row r="1101">
      <c r="A1101" t="inlineStr">
        <is>
          <t>OS-2599</t>
        </is>
      </c>
      <c r="B1101" t="inlineStr">
        <is>
          <t>Exaustor V-31 parado</t>
        </is>
      </c>
      <c r="C1101" t="inlineStr">
        <is>
          <t>Exaustor V-31 não parte. Fusível íntegro.</t>
        </is>
      </c>
      <c r="D1101" t="inlineStr">
        <is>
          <t>Booster Parque das Águas</t>
        </is>
      </c>
      <c r="E1101" t="inlineStr">
        <is>
          <t>Média</t>
        </is>
      </c>
      <c r="F1101" t="inlineStr">
        <is>
          <t>Zeca Moraes</t>
        </is>
      </c>
      <c r="G1101" t="inlineStr">
        <is>
          <t>Fechada</t>
        </is>
      </c>
      <c r="H1101" s="5" t="n">
        <v>45994.58194444444</v>
      </c>
    </row>
    <row r="1102">
      <c r="A1102" t="inlineStr">
        <is>
          <t>OS-2600</t>
        </is>
      </c>
      <c r="B1102" t="inlineStr">
        <is>
          <t>Bomba dosadora P-28 sem recalque</t>
        </is>
      </c>
      <c r="C1102" t="inlineStr">
        <is>
          <t>Bomba dosadora P-28 liga mas não dosa. Mangueira sem obstrução aparente.</t>
        </is>
      </c>
      <c r="D1102" t="inlineStr">
        <is>
          <t>Centro de Operações</t>
        </is>
      </c>
      <c r="E1102" t="inlineStr">
        <is>
          <t>Baixa</t>
        </is>
      </c>
      <c r="F1102" t="inlineStr">
        <is>
          <t>Heloísa Barreto</t>
        </is>
      </c>
      <c r="G1102" t="inlineStr">
        <is>
          <t>Fechada</t>
        </is>
      </c>
      <c r="H1102" s="5" t="n">
        <v>45994.92291666667</v>
      </c>
    </row>
    <row r="1103">
      <c r="A1103" t="inlineStr">
        <is>
          <t>OS-2601</t>
        </is>
      </c>
      <c r="B1103" t="inlineStr">
        <is>
          <t>Medidor de vazão C-20 com leitura instável</t>
        </is>
      </c>
      <c r="C1103" t="inlineStr">
        <is>
          <t>Medidor de vazão C-20 oscila sem variação de processo.</t>
        </is>
      </c>
      <c r="D1103" t="inlineStr">
        <is>
          <t>Reservatório Alto da Colina</t>
        </is>
      </c>
      <c r="E1103" t="inlineStr">
        <is>
          <t>Média</t>
        </is>
      </c>
      <c r="F1103" t="inlineStr">
        <is>
          <t>Simone Carvalho</t>
        </is>
      </c>
      <c r="G1103" t="inlineStr">
        <is>
          <t>Fechada</t>
        </is>
      </c>
      <c r="H1103" s="5" t="n">
        <v>45995.19722222222</v>
      </c>
    </row>
    <row r="1104">
      <c r="A1104" t="inlineStr">
        <is>
          <t>OS-2602</t>
        </is>
      </c>
      <c r="B1104" t="inlineStr">
        <is>
          <t>Sensor de nível sem leitura no tanque C-26</t>
        </is>
      </c>
      <c r="C1104" t="inlineStr">
        <is>
          <t>Supervisório mostra leitura congelada do sensor de nível do tanque C-26.</t>
        </is>
      </c>
      <c r="D1104" t="inlineStr">
        <is>
          <t>Estação Elevatória Leste</t>
        </is>
      </c>
      <c r="E1104" t="inlineStr">
        <is>
          <t>Alta</t>
        </is>
      </c>
      <c r="F1104" t="inlineStr">
        <is>
          <t>Daniela Pires</t>
        </is>
      </c>
      <c r="G1104" t="inlineStr">
        <is>
          <t>Fechada</t>
        </is>
      </c>
      <c r="H1104" s="5" t="n">
        <v>45995.50138888889</v>
      </c>
    </row>
    <row r="1105">
      <c r="A1105" t="inlineStr">
        <is>
          <t>OS-2603</t>
        </is>
      </c>
      <c r="B1105" t="inlineStr">
        <is>
          <t>Ruído anormal no motor M-03</t>
        </is>
      </c>
      <c r="C1105" t="inlineStr">
        <is>
          <t>Ruído intermitente no motor M-03 durante a partida. Temperatura normal ao toque.</t>
        </is>
      </c>
      <c r="D1105" t="inlineStr">
        <is>
          <t>Centro de Operações</t>
        </is>
      </c>
      <c r="E1105" t="inlineStr">
        <is>
          <t>Média</t>
        </is>
      </c>
      <c r="F1105" t="inlineStr">
        <is>
          <t>Larissa Bezerra</t>
        </is>
      </c>
      <c r="G1105" t="inlineStr">
        <is>
          <t>Fechada</t>
        </is>
      </c>
      <c r="H1105" s="5" t="n">
        <v>45995.8375</v>
      </c>
    </row>
    <row r="1106">
      <c r="A1106" t="inlineStr">
        <is>
          <t>OS-2604</t>
        </is>
      </c>
      <c r="B1106" t="inlineStr">
        <is>
          <t>Pintura descascada na estrutura V-27</t>
        </is>
      </c>
      <c r="C1106" t="inlineStr">
        <is>
          <t>Estrutura metálica V-27 com pontos de corrosão sob a pintura.</t>
        </is>
      </c>
      <c r="D1106" t="inlineStr">
        <is>
          <t>Laboratório de Controle</t>
        </is>
      </c>
      <c r="E1106" t="inlineStr">
        <is>
          <t>Baixa</t>
        </is>
      </c>
      <c r="F1106" t="inlineStr">
        <is>
          <t>Glória Sampaio</t>
        </is>
      </c>
      <c r="G1106" t="inlineStr">
        <is>
          <t>Fechada</t>
        </is>
      </c>
      <c r="H1106" s="5" t="n">
        <v>45996.12986111111</v>
      </c>
    </row>
    <row r="1107">
      <c r="A1107" t="inlineStr">
        <is>
          <t>OS-2605</t>
        </is>
      </c>
      <c r="B1107" t="inlineStr">
        <is>
          <t>Falha de comunicação no CLP A-15</t>
        </is>
      </c>
      <c r="C1107" t="inlineStr">
        <is>
          <t>CLP A-15 perde comunicação com o supervisório em intervalos irregulares.</t>
        </is>
      </c>
      <c r="D1107" t="inlineStr">
        <is>
          <t>Base Operacional Serra</t>
        </is>
      </c>
      <c r="E1107" t="inlineStr">
        <is>
          <t>Média</t>
        </is>
      </c>
      <c r="F1107" t="inlineStr">
        <is>
          <t>Natália Cordeiro</t>
        </is>
      </c>
      <c r="G1107" t="inlineStr">
        <is>
          <t>Fechada</t>
        </is>
      </c>
      <c r="H1107" s="5" t="n">
        <v>45996.43680555555</v>
      </c>
    </row>
    <row r="1108">
      <c r="A1108" t="inlineStr">
        <is>
          <t>OS-2606</t>
        </is>
      </c>
      <c r="B1108" t="inlineStr">
        <is>
          <t>Vazamento na bomba V-20</t>
        </is>
      </c>
      <c r="C1108" t="inlineStr">
        <is>
          <t>Vazamento pelo selo mecânico da bomba V-20. Piso molhado ao redor da base.</t>
        </is>
      </c>
      <c r="D1108" t="inlineStr">
        <is>
          <t>Subestação Leste</t>
        </is>
      </c>
      <c r="E1108" t="inlineStr">
        <is>
          <t>Baixa</t>
        </is>
      </c>
      <c r="F1108" t="inlineStr">
        <is>
          <t>Hugo Albuquerque</t>
        </is>
      </c>
      <c r="G1108" t="inlineStr">
        <is>
          <t>Fechada</t>
        </is>
      </c>
      <c r="H1108" s="5" t="n">
        <v>45996.74513888889</v>
      </c>
    </row>
    <row r="1109">
      <c r="A1109" t="inlineStr">
        <is>
          <t>OS-2607</t>
        </is>
      </c>
      <c r="B1109" t="inlineStr">
        <is>
          <t>Pintura descascada na estrutura D-05</t>
        </is>
      </c>
      <c r="C1109" t="inlineStr">
        <is>
          <t>Estrutura metálica D-05 com pontos de corrosão sob a pintura.</t>
        </is>
      </c>
      <c r="D1109" t="inlineStr">
        <is>
          <t>Booster Parque das Águas</t>
        </is>
      </c>
      <c r="E1109" t="inlineStr">
        <is>
          <t>Alta</t>
        </is>
      </c>
      <c r="F1109" t="inlineStr">
        <is>
          <t>Simone Carvalho</t>
        </is>
      </c>
      <c r="G1109" t="inlineStr">
        <is>
          <t>Fechada</t>
        </is>
      </c>
      <c r="H1109" s="5" t="n">
        <v>45997.02222222222</v>
      </c>
    </row>
    <row r="1110">
      <c r="A1110" t="inlineStr">
        <is>
          <t>OS-2608</t>
        </is>
      </c>
      <c r="B1110" t="inlineStr">
        <is>
          <t>Válvula E-39 não fecha por completo</t>
        </is>
      </c>
      <c r="C1110" t="inlineStr">
        <is>
          <t>Válvula E-39 com passagem residual mesmo totalmente fechada. Possível desgaste da sede.</t>
        </is>
      </c>
      <c r="D1110" t="inlineStr">
        <is>
          <t>Adutora Tronco Sul</t>
        </is>
      </c>
      <c r="E1110" t="inlineStr">
        <is>
          <t>Crítica</t>
        </is>
      </c>
      <c r="F1110" t="inlineStr">
        <is>
          <t>Natália Cordeiro</t>
        </is>
      </c>
      <c r="G1110" t="inlineStr">
        <is>
          <t>Fechada</t>
        </is>
      </c>
      <c r="H1110" s="5" t="n">
        <v>45997.35347222222</v>
      </c>
    </row>
    <row r="1111">
      <c r="A1111" t="inlineStr">
        <is>
          <t>OS-2609</t>
        </is>
      </c>
      <c r="B1111" t="inlineStr">
        <is>
          <t>Infiltração na parede da casa de bombas V-31</t>
        </is>
      </c>
      <c r="C1111" t="inlineStr">
        <is>
          <t>Mancha de umidade crescente na parede da casa de bombas V-31.</t>
        </is>
      </c>
      <c r="D1111" t="inlineStr">
        <is>
          <t>Booster Parque das Águas</t>
        </is>
      </c>
      <c r="E1111" t="inlineStr">
        <is>
          <t>Baixa</t>
        </is>
      </c>
      <c r="F1111" t="inlineStr">
        <is>
          <t>Hugo Albuquerque</t>
        </is>
      </c>
      <c r="G1111" t="inlineStr">
        <is>
          <t>Fechada</t>
        </is>
      </c>
      <c r="H1111" s="5" t="n">
        <v>45997.64305555556</v>
      </c>
    </row>
    <row r="1112">
      <c r="A1112" t="inlineStr">
        <is>
          <t>OS-2610</t>
        </is>
      </c>
      <c r="B1112" t="inlineStr">
        <is>
          <t>Pintura descascada na estrutura T-08</t>
        </is>
      </c>
      <c r="C1112" t="inlineStr">
        <is>
          <t>Estrutura metálica T-08 com pontos de corrosão sob a pintura.</t>
        </is>
      </c>
      <c r="D1112" t="inlineStr">
        <is>
          <t>Estação de Bombeamento Vila Nova</t>
        </is>
      </c>
      <c r="E1112" t="inlineStr">
        <is>
          <t>Baixa</t>
        </is>
      </c>
      <c r="F1112" t="inlineStr">
        <is>
          <t>Beatriz Farias</t>
        </is>
      </c>
      <c r="G1112" t="inlineStr">
        <is>
          <t>Fechada</t>
        </is>
      </c>
      <c r="H1112" s="5" t="n">
        <v>45997.96111111111</v>
      </c>
    </row>
    <row r="1113">
      <c r="A1113" t="inlineStr">
        <is>
          <t>OS-2611</t>
        </is>
      </c>
      <c r="B1113" t="inlineStr">
        <is>
          <t>Bomba dosadora A-16 sem recalque</t>
        </is>
      </c>
      <c r="C1113" t="inlineStr">
        <is>
          <t>Bomba dosadora A-16 liga mas não dosa. Mangueira sem obstrução aparente.</t>
        </is>
      </c>
      <c r="D1113" t="inlineStr">
        <is>
          <t>Oficina Mecânica Central</t>
        </is>
      </c>
      <c r="E1113" t="inlineStr">
        <is>
          <t>Baixa</t>
        </is>
      </c>
      <c r="F1113" t="inlineStr">
        <is>
          <t>Aline Rocha</t>
        </is>
      </c>
      <c r="G1113" t="inlineStr">
        <is>
          <t>Fechada</t>
        </is>
      </c>
      <c r="H1113" s="5" t="n">
        <v>45998.2625</v>
      </c>
    </row>
    <row r="1114">
      <c r="A1114" t="inlineStr">
        <is>
          <t>OS-2612</t>
        </is>
      </c>
      <c r="B1114" t="inlineStr">
        <is>
          <t>Medidor de vazão R-22 com leitura instável</t>
        </is>
      </c>
      <c r="C1114" t="inlineStr">
        <is>
          <t>Medidor de vazão R-22 oscila sem variação de processo.</t>
        </is>
      </c>
      <c r="D1114" t="inlineStr">
        <is>
          <t>Reservatório Industrial</t>
        </is>
      </c>
      <c r="E1114" t="inlineStr">
        <is>
          <t>Crítica</t>
        </is>
      </c>
      <c r="F1114" t="inlineStr">
        <is>
          <t>Ingrid Queiroz</t>
        </is>
      </c>
      <c r="G1114" t="inlineStr">
        <is>
          <t>Fechada</t>
        </is>
      </c>
      <c r="H1114" s="5" t="n">
        <v>45998.55555555555</v>
      </c>
    </row>
    <row r="1115">
      <c r="A1115" t="inlineStr">
        <is>
          <t>OS-2613</t>
        </is>
      </c>
      <c r="B1115" t="inlineStr">
        <is>
          <t>Vazamento na bomba M-10</t>
        </is>
      </c>
      <c r="C1115" t="inlineStr">
        <is>
          <t>Vazamento pelo selo mecânico da bomba M-10. Piso molhado ao redor da base.</t>
        </is>
      </c>
      <c r="D1115" t="inlineStr">
        <is>
          <t>ETE Jardim Bela Vista</t>
        </is>
      </c>
      <c r="E1115" t="inlineStr">
        <is>
          <t>Baixa</t>
        </is>
      </c>
      <c r="F1115" t="inlineStr">
        <is>
          <t>Gabriel Matos</t>
        </is>
      </c>
      <c r="G1115" t="inlineStr">
        <is>
          <t>Fechada</t>
        </is>
      </c>
      <c r="H1115" s="5" t="n">
        <v>45998.87708333333</v>
      </c>
    </row>
    <row r="1116">
      <c r="A1116" t="inlineStr">
        <is>
          <t>OS-2614</t>
        </is>
      </c>
      <c r="B1116" t="inlineStr">
        <is>
          <t>Exaustor M-15 parado</t>
        </is>
      </c>
      <c r="C1116" t="inlineStr">
        <is>
          <t>Exaustor M-15 não parte. Fusível íntegro.</t>
        </is>
      </c>
      <c r="D1116" t="inlineStr">
        <is>
          <t>Oficina Mecânica Central</t>
        </is>
      </c>
      <c r="E1116" t="inlineStr">
        <is>
          <t>Baixa</t>
        </is>
      </c>
      <c r="F1116" t="inlineStr">
        <is>
          <t>Murilo Paiva</t>
        </is>
      </c>
      <c r="G1116" t="inlineStr">
        <is>
          <t>Fechada</t>
        </is>
      </c>
      <c r="H1116" s="5" t="n">
        <v>45999.19375</v>
      </c>
    </row>
    <row r="1117">
      <c r="A1117" t="inlineStr">
        <is>
          <t>OS-2615</t>
        </is>
      </c>
      <c r="B1117" t="inlineStr">
        <is>
          <t>Vazamento na bomba A-14</t>
        </is>
      </c>
      <c r="C1117" t="inlineStr">
        <is>
          <t>Vazamento pelo selo mecânico da bomba A-14. Piso molhado ao redor da base.</t>
        </is>
      </c>
      <c r="D1117" t="inlineStr">
        <is>
          <t>Estação Elevatória Oeste</t>
        </is>
      </c>
      <c r="E1117" t="inlineStr">
        <is>
          <t>Baixa</t>
        </is>
      </c>
      <c r="F1117" t="inlineStr">
        <is>
          <t>Juliana Aguiar</t>
        </is>
      </c>
      <c r="G1117" t="inlineStr">
        <is>
          <t>Fechada</t>
        </is>
      </c>
      <c r="H1117" s="5" t="n">
        <v>45999.49166666667</v>
      </c>
    </row>
    <row r="1118">
      <c r="A1118" t="inlineStr">
        <is>
          <t>OS-2616</t>
        </is>
      </c>
      <c r="B1118" t="inlineStr">
        <is>
          <t>Calha entupida no prédio F-10</t>
        </is>
      </c>
      <c r="C1118" t="inlineStr">
        <is>
          <t>Calha do prédio F-10 transbordando em dia de chuva.</t>
        </is>
      </c>
      <c r="D1118" t="inlineStr">
        <is>
          <t>Booster Parque das Águas</t>
        </is>
      </c>
      <c r="E1118" t="inlineStr">
        <is>
          <t>Média</t>
        </is>
      </c>
      <c r="F1118" t="inlineStr">
        <is>
          <t>Wesley Cardoso</t>
        </is>
      </c>
      <c r="G1118" t="inlineStr">
        <is>
          <t>Fechada</t>
        </is>
      </c>
      <c r="H1118" s="5" t="n">
        <v>45999.77291666667</v>
      </c>
    </row>
    <row r="1119">
      <c r="A1119" t="inlineStr">
        <is>
          <t>OS-2617</t>
        </is>
      </c>
      <c r="B1119" t="inlineStr">
        <is>
          <t>Troca de filtro do compressor E-01</t>
        </is>
      </c>
      <c r="C1119" t="inlineStr">
        <is>
          <t>Filtro de ar do compressor E-01 saturado. Substituição preventiva.</t>
        </is>
      </c>
      <c r="D1119" t="inlineStr">
        <is>
          <t>Usina Fotovoltaica Planalto</t>
        </is>
      </c>
      <c r="E1119" t="inlineStr">
        <is>
          <t>Crítica</t>
        </is>
      </c>
      <c r="F1119" t="inlineStr">
        <is>
          <t>Jonas Teles</t>
        </is>
      </c>
      <c r="G1119" t="inlineStr">
        <is>
          <t>Fechada</t>
        </is>
      </c>
      <c r="H1119" s="5" t="n">
        <v>46000.0875</v>
      </c>
    </row>
    <row r="1120">
      <c r="A1120" t="inlineStr">
        <is>
          <t>OS-2618</t>
        </is>
      </c>
      <c r="B1120" t="inlineStr">
        <is>
          <t>Válvula A-08 não fecha por completo</t>
        </is>
      </c>
      <c r="C1120" t="inlineStr">
        <is>
          <t>Válvula A-08 com passagem residual mesmo totalmente fechada. Possível desgaste da sede.</t>
        </is>
      </c>
      <c r="D1120" t="inlineStr">
        <is>
          <t>Laboratório de Controle</t>
        </is>
      </c>
      <c r="E1120" t="inlineStr">
        <is>
          <t>Crítica</t>
        </is>
      </c>
      <c r="F1120" t="inlineStr">
        <is>
          <t>Cíntia Freitas</t>
        </is>
      </c>
      <c r="G1120" t="inlineStr">
        <is>
          <t>Fechada</t>
        </is>
      </c>
      <c r="H1120" s="5" t="n">
        <v>46000.40625</v>
      </c>
    </row>
    <row r="1121">
      <c r="A1121" t="inlineStr">
        <is>
          <t>OS-2619</t>
        </is>
      </c>
      <c r="B1121" t="inlineStr">
        <is>
          <t>Sensor de nível sem leitura no tanque D-01</t>
        </is>
      </c>
      <c r="C1121" t="inlineStr">
        <is>
          <t>Supervisório mostra leitura congelada do sensor de nível do tanque D-01.</t>
        </is>
      </c>
      <c r="D1121" t="inlineStr">
        <is>
          <t>Pátio de Veículos</t>
        </is>
      </c>
      <c r="E1121" t="inlineStr">
        <is>
          <t>Baixa</t>
        </is>
      </c>
      <c r="F1121" t="inlineStr">
        <is>
          <t>Cíntia Freitas</t>
        </is>
      </c>
      <c r="G1121" t="inlineStr">
        <is>
          <t>Fechada</t>
        </is>
      </c>
      <c r="H1121" s="5" t="n">
        <v>46000.68194444444</v>
      </c>
    </row>
    <row r="1122">
      <c r="A1122" t="inlineStr">
        <is>
          <t>OS-2620</t>
        </is>
      </c>
      <c r="B1122" t="inlineStr">
        <is>
          <t>Ar-condicionado da sala D-06 sem refrigerar</t>
        </is>
      </c>
      <c r="C1122" t="inlineStr">
        <is>
          <t>Ar-condicionado da sala de painéis D-06 ligado sem refrigerar.</t>
        </is>
      </c>
      <c r="D1122" t="inlineStr">
        <is>
          <t>ETE Rio Claro</t>
        </is>
      </c>
      <c r="E1122" t="inlineStr">
        <is>
          <t>Média</t>
        </is>
      </c>
      <c r="F1122" t="inlineStr">
        <is>
          <t>Beatriz Farias</t>
        </is>
      </c>
      <c r="G1122" t="inlineStr">
        <is>
          <t>Fechada</t>
        </is>
      </c>
      <c r="H1122" s="5" t="n">
        <v>46000.99513888889</v>
      </c>
    </row>
    <row r="1123">
      <c r="A1123" t="inlineStr">
        <is>
          <t>OS-2621</t>
        </is>
      </c>
      <c r="B1123" t="inlineStr">
        <is>
          <t>Lâmpada queimada na área A-02</t>
        </is>
      </c>
      <c r="C1123" t="inlineStr">
        <is>
          <t>Iluminação da área A-02 sem funcionar. Reposição de lâmpada e conferência do reator.</t>
        </is>
      </c>
      <c r="D1123" t="inlineStr">
        <is>
          <t>Subestação Sul</t>
        </is>
      </c>
      <c r="E1123" t="inlineStr">
        <is>
          <t>Alta</t>
        </is>
      </c>
      <c r="F1123" t="inlineStr">
        <is>
          <t>Glória Sampaio</t>
        </is>
      </c>
      <c r="G1123" t="inlineStr">
        <is>
          <t>Fechada</t>
        </is>
      </c>
      <c r="H1123" s="5" t="n">
        <v>46001.31944444445</v>
      </c>
    </row>
    <row r="1124">
      <c r="A1124" t="inlineStr">
        <is>
          <t>OS-2622</t>
        </is>
      </c>
      <c r="B1124" t="inlineStr">
        <is>
          <t>Falha de comunicação no CLP C-27</t>
        </is>
      </c>
      <c r="C1124" t="inlineStr">
        <is>
          <t>CLP C-27 perde comunicação com o supervisório em intervalos irregulares.</t>
        </is>
      </c>
      <c r="D1124" t="inlineStr">
        <is>
          <t>Torre de Telecomunicação Morro Alto</t>
        </is>
      </c>
      <c r="E1124" t="inlineStr">
        <is>
          <t>Média</t>
        </is>
      </c>
      <c r="F1124" t="inlineStr">
        <is>
          <t>Heloísa Barreto</t>
        </is>
      </c>
      <c r="G1124" t="inlineStr">
        <is>
          <t>Fechada</t>
        </is>
      </c>
      <c r="H1124" s="5" t="n">
        <v>46001.63055555556</v>
      </c>
    </row>
    <row r="1125">
      <c r="A1125" t="inlineStr">
        <is>
          <t>OS-2623</t>
        </is>
      </c>
      <c r="B1125" t="inlineStr">
        <is>
          <t>Correia do ventilador D-19 desgastada</t>
        </is>
      </c>
      <c r="C1125" t="inlineStr">
        <is>
          <t>Correia do ventilador D-19 com trincas visíveis e folga excessiva.</t>
        </is>
      </c>
      <c r="D1125" t="inlineStr">
        <is>
          <t>Estação Elevatória Leste</t>
        </is>
      </c>
      <c r="E1125" t="inlineStr">
        <is>
          <t>Baixa</t>
        </is>
      </c>
      <c r="F1125" t="inlineStr">
        <is>
          <t>Vagner Pacheco</t>
        </is>
      </c>
      <c r="G1125" t="inlineStr">
        <is>
          <t>Fechada</t>
        </is>
      </c>
      <c r="H1125" s="5" t="n">
        <v>46001.93472222222</v>
      </c>
    </row>
    <row r="1126">
      <c r="A1126" t="inlineStr">
        <is>
          <t>OS-2624</t>
        </is>
      </c>
      <c r="B1126" t="inlineStr">
        <is>
          <t>Calha entupida no prédio A-30</t>
        </is>
      </c>
      <c r="C1126" t="inlineStr">
        <is>
          <t>Calha do prédio A-30 transbordando em dia de chuva.</t>
        </is>
      </c>
      <c r="D1126" t="inlineStr">
        <is>
          <t>Estação Elevatória Leste</t>
        </is>
      </c>
      <c r="E1126" t="inlineStr">
        <is>
          <t>Baixa</t>
        </is>
      </c>
      <c r="F1126" t="inlineStr">
        <is>
          <t>Fernanda Quintela</t>
        </is>
      </c>
      <c r="G1126" t="inlineStr">
        <is>
          <t>Fechada</t>
        </is>
      </c>
      <c r="H1126" s="5" t="n">
        <v>46002.23402777778</v>
      </c>
    </row>
    <row r="1127">
      <c r="A1127" t="inlineStr">
        <is>
          <t>OS-2625</t>
        </is>
      </c>
      <c r="B1127" t="inlineStr">
        <is>
          <t>Calha entupida no prédio V-08</t>
        </is>
      </c>
      <c r="C1127" t="inlineStr">
        <is>
          <t>Calha do prédio V-08 transbordando em dia de chuva.</t>
        </is>
      </c>
      <c r="D1127" t="inlineStr">
        <is>
          <t>Usina Fotovoltaica Cerrado</t>
        </is>
      </c>
      <c r="E1127" t="inlineStr">
        <is>
          <t>Média</t>
        </is>
      </c>
      <c r="F1127" t="inlineStr">
        <is>
          <t>Lívia Montenegro</t>
        </is>
      </c>
      <c r="G1127" t="inlineStr">
        <is>
          <t>Fechada</t>
        </is>
      </c>
      <c r="H1127" s="5" t="n">
        <v>46002.52638888889</v>
      </c>
    </row>
    <row r="1128">
      <c r="A1128" t="inlineStr">
        <is>
          <t>OS-2626</t>
        </is>
      </c>
      <c r="B1128" t="inlineStr">
        <is>
          <t>Correia do ventilador H-36 desgastada</t>
        </is>
      </c>
      <c r="C1128" t="inlineStr">
        <is>
          <t>Correia do ventilador H-36 com trincas visíveis e folga excessiva.</t>
        </is>
      </c>
      <c r="D1128" t="inlineStr">
        <is>
          <t>Adutora Tronco Norte</t>
        </is>
      </c>
      <c r="E1128" t="inlineStr">
        <is>
          <t>Alta</t>
        </is>
      </c>
      <c r="F1128" t="inlineStr">
        <is>
          <t>Zeca Moraes</t>
        </is>
      </c>
      <c r="G1128" t="inlineStr">
        <is>
          <t>Fechada</t>
        </is>
      </c>
      <c r="H1128" s="5" t="n">
        <v>46002.85555555556</v>
      </c>
    </row>
    <row r="1129">
      <c r="A1129" t="inlineStr">
        <is>
          <t>OS-2627</t>
        </is>
      </c>
      <c r="B1129" t="inlineStr">
        <is>
          <t>Infiltração na parede da casa de bombas E-04</t>
        </is>
      </c>
      <c r="C1129" t="inlineStr">
        <is>
          <t>Mancha de umidade crescente na parede da casa de bombas E-04.</t>
        </is>
      </c>
      <c r="D1129" t="inlineStr">
        <is>
          <t>ETA Central</t>
        </is>
      </c>
      <c r="E1129" t="inlineStr">
        <is>
          <t>Crítica</t>
        </is>
      </c>
      <c r="F1129" t="inlineStr">
        <is>
          <t>Priscila Guedes</t>
        </is>
      </c>
      <c r="G1129" t="inlineStr">
        <is>
          <t>Fechada</t>
        </is>
      </c>
      <c r="H1129" s="5" t="n">
        <v>46003.12777777778</v>
      </c>
    </row>
    <row r="1130">
      <c r="A1130" t="inlineStr">
        <is>
          <t>OS-2628</t>
        </is>
      </c>
      <c r="B1130" t="inlineStr">
        <is>
          <t>Correia do ventilador C-32 desgastada</t>
        </is>
      </c>
      <c r="C1130" t="inlineStr">
        <is>
          <t>Correia do ventilador C-32 com trincas visíveis e folga excessiva.</t>
        </is>
      </c>
      <c r="D1130" t="inlineStr">
        <is>
          <t>Estação Elevatória Porto</t>
        </is>
      </c>
      <c r="E1130" t="inlineStr">
        <is>
          <t>Baixa</t>
        </is>
      </c>
      <c r="F1130" t="inlineStr">
        <is>
          <t>Natália Cordeiro</t>
        </is>
      </c>
      <c r="G1130" t="inlineStr">
        <is>
          <t>Fechada</t>
        </is>
      </c>
      <c r="H1130" s="5" t="n">
        <v>46003.46527777778</v>
      </c>
    </row>
    <row r="1131">
      <c r="A1131" t="inlineStr">
        <is>
          <t>OS-2629</t>
        </is>
      </c>
      <c r="B1131" t="inlineStr">
        <is>
          <t>Lâmpada queimada na área M-03</t>
        </is>
      </c>
      <c r="C1131" t="inlineStr">
        <is>
          <t>Iluminação da área M-03 sem funcionar. Reposição de lâmpada e conferência do reator.</t>
        </is>
      </c>
      <c r="D1131" t="inlineStr">
        <is>
          <t>Subestação Sul</t>
        </is>
      </c>
      <c r="E1131" t="inlineStr">
        <is>
          <t>Alta</t>
        </is>
      </c>
      <c r="F1131" t="inlineStr">
        <is>
          <t>Yara Medeiros</t>
        </is>
      </c>
      <c r="G1131" t="inlineStr">
        <is>
          <t>Fechada</t>
        </is>
      </c>
      <c r="H1131" s="5" t="n">
        <v>46003.74791666667</v>
      </c>
    </row>
    <row r="1132">
      <c r="A1132" t="inlineStr">
        <is>
          <t>OS-2630</t>
        </is>
      </c>
      <c r="B1132" t="inlineStr">
        <is>
          <t>Tomada sem energia na sala G-07</t>
        </is>
      </c>
      <c r="C1132" t="inlineStr">
        <is>
          <t>Tomada de serviço da sala G-07 sem tensão.</t>
        </is>
      </c>
      <c r="D1132" t="inlineStr">
        <is>
          <t>ETA Central</t>
        </is>
      </c>
      <c r="E1132" t="inlineStr">
        <is>
          <t>Média</t>
        </is>
      </c>
      <c r="F1132" t="inlineStr">
        <is>
          <t>Bernardo Leal</t>
        </is>
      </c>
      <c r="G1132" t="inlineStr">
        <is>
          <t>Fechada</t>
        </is>
      </c>
      <c r="H1132" s="5" t="n">
        <v>46004.05625</v>
      </c>
    </row>
    <row r="1133">
      <c r="A1133" t="inlineStr">
        <is>
          <t>OS-2631</t>
        </is>
      </c>
      <c r="B1133" t="inlineStr">
        <is>
          <t>Portão da área A-04 emperrado</t>
        </is>
      </c>
      <c r="C1133" t="inlineStr">
        <is>
          <t>Portão de acesso da área A-04 exige força excessiva para abrir.</t>
        </is>
      </c>
      <c r="D1133" t="inlineStr">
        <is>
          <t>ETA Serra Azul</t>
        </is>
      </c>
      <c r="E1133" t="inlineStr">
        <is>
          <t>Baixa</t>
        </is>
      </c>
      <c r="F1133" t="inlineStr">
        <is>
          <t>Priscila Guedes</t>
        </is>
      </c>
      <c r="G1133" t="inlineStr">
        <is>
          <t>Fechada</t>
        </is>
      </c>
      <c r="H1133" s="5" t="n">
        <v>46004.34722222222</v>
      </c>
    </row>
    <row r="1134">
      <c r="A1134" t="inlineStr">
        <is>
          <t>OS-2632</t>
        </is>
      </c>
      <c r="B1134" t="inlineStr">
        <is>
          <t>Bomba dosadora D-16 sem recalque</t>
        </is>
      </c>
      <c r="C1134" t="inlineStr">
        <is>
          <t>Bomba dosadora D-16 liga mas não dosa. Mangueira sem obstrução aparente.</t>
        </is>
      </c>
      <c r="D1134" t="inlineStr">
        <is>
          <t>Captação Lagoa Seca</t>
        </is>
      </c>
      <c r="E1134" t="inlineStr">
        <is>
          <t>Alta</t>
        </is>
      </c>
      <c r="F1134" t="inlineStr">
        <is>
          <t>Daniela Pires</t>
        </is>
      </c>
      <c r="G1134" t="inlineStr">
        <is>
          <t>Fechada</t>
        </is>
      </c>
      <c r="H1134" s="5" t="n">
        <v>46004.675</v>
      </c>
    </row>
    <row r="1135">
      <c r="A1135" t="inlineStr">
        <is>
          <t>OS-2633</t>
        </is>
      </c>
      <c r="B1135" t="inlineStr">
        <is>
          <t>Válvula D-36 não fecha por completo</t>
        </is>
      </c>
      <c r="C1135" t="inlineStr">
        <is>
          <t>Válvula D-36 com passagem residual mesmo totalmente fechada. Possível desgaste da sede.</t>
        </is>
      </c>
      <c r="D1135" t="inlineStr">
        <is>
          <t>ETE Jardim Bela Vista</t>
        </is>
      </c>
      <c r="E1135" t="inlineStr">
        <is>
          <t>Baixa</t>
        </is>
      </c>
      <c r="F1135" t="inlineStr">
        <is>
          <t>Gabriel Matos</t>
        </is>
      </c>
      <c r="G1135" t="inlineStr">
        <is>
          <t>Fechada</t>
        </is>
      </c>
      <c r="H1135" s="5" t="n">
        <v>46004.95833333334</v>
      </c>
    </row>
    <row r="1136">
      <c r="A1136" t="inlineStr">
        <is>
          <t>OS-2634</t>
        </is>
      </c>
      <c r="B1136" t="inlineStr">
        <is>
          <t>Bomba dosadora V-32 sem recalque</t>
        </is>
      </c>
      <c r="C1136" t="inlineStr">
        <is>
          <t>Bomba dosadora V-32 liga mas não dosa. Mangueira sem obstrução aparente.</t>
        </is>
      </c>
      <c r="D1136" t="inlineStr">
        <is>
          <t>Reservatório Alto da Colina</t>
        </is>
      </c>
      <c r="E1136" t="inlineStr">
        <is>
          <t>Alta</t>
        </is>
      </c>
      <c r="F1136" t="inlineStr">
        <is>
          <t>Natália Cordeiro</t>
        </is>
      </c>
      <c r="G1136" t="inlineStr">
        <is>
          <t>Fechada</t>
        </is>
      </c>
      <c r="H1136" s="5" t="n">
        <v>46005.28611111111</v>
      </c>
    </row>
    <row r="1137">
      <c r="A1137" t="inlineStr">
        <is>
          <t>OS-2635</t>
        </is>
      </c>
      <c r="B1137" t="inlineStr">
        <is>
          <t>Ruído anormal no motor H-32</t>
        </is>
      </c>
      <c r="C1137" t="inlineStr">
        <is>
          <t>Ruído intermitente no motor H-32 durante a partida. Temperatura normal ao toque.</t>
        </is>
      </c>
      <c r="D1137" t="inlineStr">
        <is>
          <t>Galpão de Materiais</t>
        </is>
      </c>
      <c r="E1137" t="inlineStr">
        <is>
          <t>Média</t>
        </is>
      </c>
      <c r="F1137" t="inlineStr">
        <is>
          <t>Wesley Cardoso</t>
        </is>
      </c>
      <c r="G1137" t="inlineStr">
        <is>
          <t>Fechada</t>
        </is>
      </c>
      <c r="H1137" s="5" t="n">
        <v>46005.59513888889</v>
      </c>
    </row>
    <row r="1138">
      <c r="A1138" t="inlineStr">
        <is>
          <t>OS-2636</t>
        </is>
      </c>
      <c r="B1138" t="inlineStr">
        <is>
          <t>Válvula T-32 não fecha por completo</t>
        </is>
      </c>
      <c r="C1138" t="inlineStr">
        <is>
          <t>Válvula T-32 com passagem residual mesmo totalmente fechada. Possível desgaste da sede.</t>
        </is>
      </c>
      <c r="D1138" t="inlineStr">
        <is>
          <t>Estação Elevatória Porto</t>
        </is>
      </c>
      <c r="E1138" t="inlineStr">
        <is>
          <t>Baixa</t>
        </is>
      </c>
      <c r="F1138" t="inlineStr">
        <is>
          <t>Zeca Moraes</t>
        </is>
      </c>
      <c r="G1138" t="inlineStr">
        <is>
          <t>Fechada</t>
        </is>
      </c>
      <c r="H1138" s="5" t="n">
        <v>46005.87430555555</v>
      </c>
    </row>
    <row r="1139">
      <c r="A1139" t="inlineStr">
        <is>
          <t>OS-2637</t>
        </is>
      </c>
      <c r="B1139" t="inlineStr">
        <is>
          <t>Medidor de vazão P-32 com leitura instável</t>
        </is>
      </c>
      <c r="C1139" t="inlineStr">
        <is>
          <t>Medidor de vazão P-32 oscila sem variação de processo.</t>
        </is>
      </c>
      <c r="D1139" t="inlineStr">
        <is>
          <t>Oficina Mecânica Central</t>
        </is>
      </c>
      <c r="E1139" t="inlineStr">
        <is>
          <t>Média</t>
        </is>
      </c>
      <c r="F1139" t="inlineStr">
        <is>
          <t>Jonas Teles</t>
        </is>
      </c>
      <c r="G1139" t="inlineStr">
        <is>
          <t>Fechada</t>
        </is>
      </c>
      <c r="H1139" s="5" t="n">
        <v>46006.19791666666</v>
      </c>
    </row>
    <row r="1140">
      <c r="A1140" t="inlineStr">
        <is>
          <t>OS-2638</t>
        </is>
      </c>
      <c r="B1140" t="inlineStr">
        <is>
          <t>Pintura descascada na estrutura H-16</t>
        </is>
      </c>
      <c r="C1140" t="inlineStr">
        <is>
          <t>Estrutura metálica H-16 com pontos de corrosão sob a pintura.</t>
        </is>
      </c>
      <c r="D1140" t="inlineStr">
        <is>
          <t>Estação de Bombeamento Três Pontes</t>
        </is>
      </c>
      <c r="E1140" t="inlineStr">
        <is>
          <t>Média</t>
        </is>
      </c>
      <c r="F1140" t="inlineStr">
        <is>
          <t>Yara Medeiros</t>
        </is>
      </c>
      <c r="G1140" t="inlineStr">
        <is>
          <t>Fechada</t>
        </is>
      </c>
      <c r="H1140" s="5" t="n">
        <v>46006.51041666666</v>
      </c>
    </row>
    <row r="1141">
      <c r="A1141" t="inlineStr">
        <is>
          <t>OS-2639</t>
        </is>
      </c>
      <c r="B1141" t="inlineStr">
        <is>
          <t>Portão da área M-09 emperrado</t>
        </is>
      </c>
      <c r="C1141" t="inlineStr">
        <is>
          <t>Portão de acesso da área M-09 exige força excessiva para abrir.</t>
        </is>
      </c>
      <c r="D1141" t="inlineStr">
        <is>
          <t>ETA Central</t>
        </is>
      </c>
      <c r="E1141" t="inlineStr">
        <is>
          <t>Média</t>
        </is>
      </c>
      <c r="F1141" t="inlineStr">
        <is>
          <t>Igor Fonseca</t>
        </is>
      </c>
      <c r="G1141" t="inlineStr">
        <is>
          <t>Fechada</t>
        </is>
      </c>
      <c r="H1141" s="5" t="n">
        <v>46006.81666666667</v>
      </c>
    </row>
    <row r="1142">
      <c r="A1142" t="inlineStr">
        <is>
          <t>OS-2640</t>
        </is>
      </c>
      <c r="B1142" t="inlineStr">
        <is>
          <t>Sensor de nível sem leitura no tanque A-38</t>
        </is>
      </c>
      <c r="C1142" t="inlineStr">
        <is>
          <t>Supervisório mostra leitura congelada do sensor de nível do tanque A-38.</t>
        </is>
      </c>
      <c r="D1142" t="inlineStr">
        <is>
          <t>Subestação Norte</t>
        </is>
      </c>
      <c r="E1142" t="inlineStr">
        <is>
          <t>Baixa</t>
        </is>
      </c>
      <c r="F1142" t="inlineStr">
        <is>
          <t>Rafael Torres</t>
        </is>
      </c>
      <c r="G1142" t="inlineStr">
        <is>
          <t>Fechada</t>
        </is>
      </c>
      <c r="H1142" s="5" t="n">
        <v>46007.12083333333</v>
      </c>
    </row>
    <row r="1143">
      <c r="A1143" t="inlineStr">
        <is>
          <t>OS-2641</t>
        </is>
      </c>
      <c r="B1143" t="inlineStr">
        <is>
          <t>Ar-condicionado da sala E-37 sem refrigerar</t>
        </is>
      </c>
      <c r="C1143" t="inlineStr">
        <is>
          <t>Ar-condicionado da sala de painéis E-37 ligado sem refrigerar.</t>
        </is>
      </c>
      <c r="D1143" t="inlineStr">
        <is>
          <t>Estação Elevatória Oeste</t>
        </is>
      </c>
      <c r="E1143" t="inlineStr">
        <is>
          <t>Baixa</t>
        </is>
      </c>
      <c r="F1143" t="inlineStr">
        <is>
          <t>Érica Andrade</t>
        </is>
      </c>
      <c r="G1143" t="inlineStr">
        <is>
          <t>Fechada</t>
        </is>
      </c>
      <c r="H1143" s="5" t="n">
        <v>46007.41458333333</v>
      </c>
    </row>
    <row r="1144">
      <c r="A1144" t="inlineStr">
        <is>
          <t>OS-2642</t>
        </is>
      </c>
      <c r="B1144" t="inlineStr">
        <is>
          <t>Correia do ventilador R-29 desgastada</t>
        </is>
      </c>
      <c r="C1144" t="inlineStr">
        <is>
          <t>Correia do ventilador R-29 com trincas visíveis e folga excessiva.</t>
        </is>
      </c>
      <c r="D1144" t="inlineStr">
        <is>
          <t>Torre de Telecomunicação Morro Alto</t>
        </is>
      </c>
      <c r="E1144" t="inlineStr">
        <is>
          <t>Média</t>
        </is>
      </c>
      <c r="F1144" t="inlineStr">
        <is>
          <t>Bernardo Leal</t>
        </is>
      </c>
      <c r="G1144" t="inlineStr">
        <is>
          <t>Fechada</t>
        </is>
      </c>
      <c r="H1144" s="5" t="n">
        <v>46007.70625</v>
      </c>
    </row>
    <row r="1145">
      <c r="A1145" t="inlineStr">
        <is>
          <t>OS-2643</t>
        </is>
      </c>
      <c r="B1145" t="inlineStr">
        <is>
          <t>Pintura descascada na estrutura H-35</t>
        </is>
      </c>
      <c r="C1145" t="inlineStr">
        <is>
          <t>Estrutura metálica H-35 com pontos de corrosão sob a pintura.</t>
        </is>
      </c>
      <c r="D1145" t="inlineStr">
        <is>
          <t>Torre de Telecomunicação Morro Alto</t>
        </is>
      </c>
      <c r="E1145" t="inlineStr">
        <is>
          <t>Alta</t>
        </is>
      </c>
      <c r="F1145" t="inlineStr">
        <is>
          <t>Daniela Pires</t>
        </is>
      </c>
      <c r="G1145" t="inlineStr">
        <is>
          <t>Fechada</t>
        </is>
      </c>
      <c r="H1145" s="5" t="n">
        <v>46008.00486111111</v>
      </c>
    </row>
    <row r="1146">
      <c r="A1146" t="inlineStr">
        <is>
          <t>OS-2644</t>
        </is>
      </c>
      <c r="B1146" t="inlineStr">
        <is>
          <t>Exaustor H-33 parado</t>
        </is>
      </c>
      <c r="C1146" t="inlineStr">
        <is>
          <t>Exaustor H-33 não parte. Fusível íntegro.</t>
        </is>
      </c>
      <c r="D1146" t="inlineStr">
        <is>
          <t>Base Operacional Litoral</t>
        </is>
      </c>
      <c r="E1146" t="inlineStr">
        <is>
          <t>Média</t>
        </is>
      </c>
      <c r="F1146" t="inlineStr">
        <is>
          <t>Vagner Pacheco</t>
        </is>
      </c>
      <c r="G1146" t="inlineStr">
        <is>
          <t>Fechada</t>
        </is>
      </c>
      <c r="H1146" s="5" t="n">
        <v>46008.34652777778</v>
      </c>
    </row>
    <row r="1147">
      <c r="A1147" t="inlineStr">
        <is>
          <t>OS-2645</t>
        </is>
      </c>
      <c r="B1147" t="inlineStr">
        <is>
          <t>Disjuntor desarmando no painel A-26</t>
        </is>
      </c>
      <c r="C1147" t="inlineStr">
        <is>
          <t>Disjuntor do painel A-26 desarmou três vezes no turno. Carga dentro do nominal.</t>
        </is>
      </c>
      <c r="D1147" t="inlineStr">
        <is>
          <t>Booster Parque das Águas</t>
        </is>
      </c>
      <c r="E1147" t="inlineStr">
        <is>
          <t>Baixa</t>
        </is>
      </c>
      <c r="F1147" t="inlineStr">
        <is>
          <t>Fernanda Quintela</t>
        </is>
      </c>
      <c r="G1147" t="inlineStr">
        <is>
          <t>Fechada</t>
        </is>
      </c>
      <c r="H1147" s="5" t="n">
        <v>46008.62152777778</v>
      </c>
    </row>
    <row r="1148">
      <c r="A1148" t="inlineStr">
        <is>
          <t>OS-2646</t>
        </is>
      </c>
      <c r="B1148" t="inlineStr">
        <is>
          <t>Aquecimento no mancal do motor C-14</t>
        </is>
      </c>
      <c r="C1148" t="inlineStr">
        <is>
          <t>Mancal do motor C-14 acima da temperatura usual na medição com termômetro infravermelho.</t>
        </is>
      </c>
      <c r="D1148" t="inlineStr">
        <is>
          <t>Subestação Oeste</t>
        </is>
      </c>
      <c r="E1148" t="inlineStr">
        <is>
          <t>Média</t>
        </is>
      </c>
      <c r="F1148" t="inlineStr">
        <is>
          <t>Heloísa Barreto</t>
        </is>
      </c>
      <c r="G1148" t="inlineStr">
        <is>
          <t>Fechada</t>
        </is>
      </c>
      <c r="H1148" s="5" t="n">
        <v>46008.95277777778</v>
      </c>
    </row>
    <row r="1149">
      <c r="A1149" t="inlineStr">
        <is>
          <t>OS-2647</t>
        </is>
      </c>
      <c r="B1149" t="inlineStr">
        <is>
          <t>Troca de filtro do compressor P-04</t>
        </is>
      </c>
      <c r="C1149" t="inlineStr">
        <is>
          <t>Filtro de ar do compressor P-04 saturado. Substituição preventiva.</t>
        </is>
      </c>
      <c r="D1149" t="inlineStr">
        <is>
          <t>Adutora Tronco Sul</t>
        </is>
      </c>
      <c r="E1149" t="inlineStr">
        <is>
          <t>Baixa</t>
        </is>
      </c>
      <c r="F1149" t="inlineStr">
        <is>
          <t>Glória Sampaio</t>
        </is>
      </c>
      <c r="G1149" t="inlineStr">
        <is>
          <t>Fechada</t>
        </is>
      </c>
      <c r="H1149" s="5" t="n">
        <v>46009.26180555556</v>
      </c>
    </row>
    <row r="1150">
      <c r="A1150" t="inlineStr">
        <is>
          <t>OS-2648</t>
        </is>
      </c>
      <c r="B1150" t="inlineStr">
        <is>
          <t>Ar-condicionado da sala M-34 sem refrigerar</t>
        </is>
      </c>
      <c r="C1150" t="inlineStr">
        <is>
          <t>Ar-condicionado da sala de painéis M-34 ligado sem refrigerar.</t>
        </is>
      </c>
      <c r="D1150" t="inlineStr">
        <is>
          <t>Centro de Operações</t>
        </is>
      </c>
      <c r="E1150" t="inlineStr">
        <is>
          <t>Baixa</t>
        </is>
      </c>
      <c r="F1150" t="inlineStr">
        <is>
          <t>Priscila Guedes</t>
        </is>
      </c>
      <c r="G1150" t="inlineStr">
        <is>
          <t>Fechada</t>
        </is>
      </c>
      <c r="H1150" s="5" t="n">
        <v>46009.5625</v>
      </c>
    </row>
    <row r="1151">
      <c r="A1151" t="inlineStr">
        <is>
          <t>OS-2649</t>
        </is>
      </c>
      <c r="B1151" t="inlineStr">
        <is>
          <t>Pintura descascada na estrutura P-07</t>
        </is>
      </c>
      <c r="C1151" t="inlineStr">
        <is>
          <t>Estrutura metálica P-07 com pontos de corrosão sob a pintura.</t>
        </is>
      </c>
      <c r="D1151" t="inlineStr">
        <is>
          <t>Centro de Operações</t>
        </is>
      </c>
      <c r="E1151" t="inlineStr">
        <is>
          <t>Alta</t>
        </is>
      </c>
      <c r="F1151" t="inlineStr">
        <is>
          <t>Marcos Vinícius Rocha</t>
        </is>
      </c>
      <c r="G1151" t="inlineStr">
        <is>
          <t>Fechada</t>
        </is>
      </c>
      <c r="H1151" s="5" t="n">
        <v>46009.84444444445</v>
      </c>
    </row>
    <row r="1152">
      <c r="A1152" t="inlineStr">
        <is>
          <t>OS-2650</t>
        </is>
      </c>
      <c r="B1152" t="inlineStr">
        <is>
          <t>Pintura descascada na estrutura V-23</t>
        </is>
      </c>
      <c r="C1152" t="inlineStr">
        <is>
          <t>Estrutura metálica V-23 com pontos de corrosão sob a pintura.</t>
        </is>
      </c>
      <c r="D1152" t="inlineStr">
        <is>
          <t>ETE Rio Claro</t>
        </is>
      </c>
      <c r="E1152" t="inlineStr">
        <is>
          <t>Média</t>
        </is>
      </c>
      <c r="F1152" t="inlineStr">
        <is>
          <t>Natália Cordeiro</t>
        </is>
      </c>
      <c r="G1152" t="inlineStr">
        <is>
          <t>Fechada</t>
        </is>
      </c>
      <c r="H1152" s="5" t="n">
        <v>46010.16527777778</v>
      </c>
    </row>
    <row r="1153">
      <c r="A1153" t="inlineStr">
        <is>
          <t>OS-2651</t>
        </is>
      </c>
      <c r="B1153" t="inlineStr">
        <is>
          <t>Infiltração na parede da casa de bombas T-18</t>
        </is>
      </c>
      <c r="C1153" t="inlineStr">
        <is>
          <t>Mancha de umidade crescente na parede da casa de bombas T-18.</t>
        </is>
      </c>
      <c r="D1153" t="inlineStr">
        <is>
          <t>Oficina Mecânica Central</t>
        </is>
      </c>
      <c r="E1153" t="inlineStr">
        <is>
          <t>Alta</t>
        </is>
      </c>
      <c r="F1153" t="inlineStr">
        <is>
          <t>Kleber Antunes</t>
        </is>
      </c>
      <c r="G1153" t="inlineStr">
        <is>
          <t>Fechada</t>
        </is>
      </c>
      <c r="H1153" s="5" t="n">
        <v>46010.47222222222</v>
      </c>
    </row>
    <row r="1154">
      <c r="A1154" t="inlineStr">
        <is>
          <t>OS-2652</t>
        </is>
      </c>
      <c r="B1154" t="inlineStr">
        <is>
          <t>Sensor de nível sem leitura no tanque M-33</t>
        </is>
      </c>
      <c r="C1154" t="inlineStr">
        <is>
          <t>Supervisório mostra leitura congelada do sensor de nível do tanque M-33.</t>
        </is>
      </c>
      <c r="D1154" t="inlineStr">
        <is>
          <t>Estação Elevatória Oeste</t>
        </is>
      </c>
      <c r="E1154" t="inlineStr">
        <is>
          <t>Baixa</t>
        </is>
      </c>
      <c r="F1154" t="inlineStr">
        <is>
          <t>Thiago Bastos</t>
        </is>
      </c>
      <c r="G1154" t="inlineStr">
        <is>
          <t>Fechada</t>
        </is>
      </c>
      <c r="H1154" s="5" t="n">
        <v>46010.78680555556</v>
      </c>
    </row>
    <row r="1155">
      <c r="A1155" t="inlineStr">
        <is>
          <t>OS-2653</t>
        </is>
      </c>
      <c r="B1155" t="inlineStr">
        <is>
          <t>Calha entupida no prédio G-35</t>
        </is>
      </c>
      <c r="C1155" t="inlineStr">
        <is>
          <t>Calha do prédio G-35 transbordando em dia de chuva.</t>
        </is>
      </c>
      <c r="D1155" t="inlineStr">
        <is>
          <t>Reservatório Santa Luzia</t>
        </is>
      </c>
      <c r="E1155" t="inlineStr">
        <is>
          <t>Média</t>
        </is>
      </c>
      <c r="F1155" t="inlineStr">
        <is>
          <t>Simone Carvalho</t>
        </is>
      </c>
      <c r="G1155" t="inlineStr">
        <is>
          <t>Fechada</t>
        </is>
      </c>
      <c r="H1155" s="5" t="n">
        <v>46011.06458333333</v>
      </c>
    </row>
    <row r="1156">
      <c r="A1156" t="inlineStr">
        <is>
          <t>OS-2654</t>
        </is>
      </c>
      <c r="B1156" t="inlineStr">
        <is>
          <t>Ar-condicionado da sala T-21 sem refrigerar</t>
        </is>
      </c>
      <c r="C1156" t="inlineStr">
        <is>
          <t>Ar-condicionado da sala de painéis T-21 ligado sem refrigerar.</t>
        </is>
      </c>
      <c r="D1156" t="inlineStr">
        <is>
          <t>ETE Vale do Sol</t>
        </is>
      </c>
      <c r="E1156" t="inlineStr">
        <is>
          <t>Média</t>
        </is>
      </c>
      <c r="F1156" t="inlineStr">
        <is>
          <t>Úrsula Maia</t>
        </is>
      </c>
      <c r="G1156" t="inlineStr">
        <is>
          <t>Fechada</t>
        </is>
      </c>
      <c r="H1156" s="5" t="n">
        <v>46011.37222222222</v>
      </c>
    </row>
    <row r="1157">
      <c r="A1157" t="inlineStr">
        <is>
          <t>OS-2655</t>
        </is>
      </c>
      <c r="B1157" t="inlineStr">
        <is>
          <t>Falha de comunicação no CLP P-08</t>
        </is>
      </c>
      <c r="C1157" t="inlineStr">
        <is>
          <t>CLP P-08 perde comunicação com o supervisório em intervalos irregulares.</t>
        </is>
      </c>
      <c r="D1157" t="inlineStr">
        <is>
          <t>Base Operacional Norte</t>
        </is>
      </c>
      <c r="E1157" t="inlineStr">
        <is>
          <t>Média</t>
        </is>
      </c>
      <c r="F1157" t="inlineStr">
        <is>
          <t>Jonas Teles</t>
        </is>
      </c>
      <c r="G1157" t="inlineStr">
        <is>
          <t>Fechada</t>
        </is>
      </c>
      <c r="H1157" s="5" t="n">
        <v>46011.70069444444</v>
      </c>
    </row>
    <row r="1158">
      <c r="A1158" t="inlineStr">
        <is>
          <t>OS-2656</t>
        </is>
      </c>
      <c r="B1158" t="inlineStr">
        <is>
          <t>Pintura descascada na estrutura D-12</t>
        </is>
      </c>
      <c r="C1158" t="inlineStr">
        <is>
          <t>Estrutura metálica D-12 com pontos de corrosão sob a pintura.</t>
        </is>
      </c>
      <c r="D1158" t="inlineStr">
        <is>
          <t>Almoxarifado Central</t>
        </is>
      </c>
      <c r="E1158" t="inlineStr">
        <is>
          <t>Baixa</t>
        </is>
      </c>
      <c r="F1158" t="inlineStr">
        <is>
          <t>Úrsula Maia</t>
        </is>
      </c>
      <c r="G1158" t="inlineStr">
        <is>
          <t>Fechada</t>
        </is>
      </c>
      <c r="H1158" s="5" t="n">
        <v>46012.00347222222</v>
      </c>
    </row>
    <row r="1159">
      <c r="A1159" t="inlineStr">
        <is>
          <t>OS-2657</t>
        </is>
      </c>
      <c r="B1159" t="inlineStr">
        <is>
          <t>Ar-condicionado da sala P-20 sem refrigerar</t>
        </is>
      </c>
      <c r="C1159" t="inlineStr">
        <is>
          <t>Ar-condicionado da sala de painéis P-20 ligado sem refrigerar.</t>
        </is>
      </c>
      <c r="D1159" t="inlineStr">
        <is>
          <t>ETA Ribeirão Fundo</t>
        </is>
      </c>
      <c r="E1159" t="inlineStr">
        <is>
          <t>Alta</t>
        </is>
      </c>
      <c r="F1159" t="inlineStr">
        <is>
          <t>Úrsula Maia</t>
        </is>
      </c>
      <c r="G1159" t="inlineStr">
        <is>
          <t>Fechada</t>
        </is>
      </c>
      <c r="H1159" s="5" t="n">
        <v>46012.29861111111</v>
      </c>
    </row>
    <row r="1160">
      <c r="A1160" t="inlineStr">
        <is>
          <t>OS-2658</t>
        </is>
      </c>
      <c r="B1160" t="inlineStr">
        <is>
          <t>Lâmpada queimada na área F-26</t>
        </is>
      </c>
      <c r="C1160" t="inlineStr">
        <is>
          <t>Iluminação da área F-26 sem funcionar. Reposição de lâmpada e conferência do reator.</t>
        </is>
      </c>
      <c r="D1160" t="inlineStr">
        <is>
          <t>Galpão de Materiais</t>
        </is>
      </c>
      <c r="E1160" t="inlineStr">
        <is>
          <t>Média</t>
        </is>
      </c>
      <c r="F1160" t="inlineStr">
        <is>
          <t>Otávio Lacerda</t>
        </is>
      </c>
      <c r="G1160" t="inlineStr">
        <is>
          <t>Fechada</t>
        </is>
      </c>
      <c r="H1160" s="5" t="n">
        <v>46012.60763888889</v>
      </c>
    </row>
    <row r="1161">
      <c r="A1161" t="inlineStr">
        <is>
          <t>OS-2659</t>
        </is>
      </c>
      <c r="B1161" t="inlineStr">
        <is>
          <t>Troca de filtro do compressor A-15</t>
        </is>
      </c>
      <c r="C1161" t="inlineStr">
        <is>
          <t>Filtro de ar do compressor A-15 saturado. Substituição preventiva.</t>
        </is>
      </c>
      <c r="D1161" t="inlineStr">
        <is>
          <t>Reservatório Santa Luzia</t>
        </is>
      </c>
      <c r="E1161" t="inlineStr">
        <is>
          <t>Média</t>
        </is>
      </c>
      <c r="F1161" t="inlineStr">
        <is>
          <t>Igor Fonseca</t>
        </is>
      </c>
      <c r="G1161" t="inlineStr">
        <is>
          <t>Fechada</t>
        </is>
      </c>
      <c r="H1161" s="5" t="n">
        <v>46012.90138888889</v>
      </c>
    </row>
    <row r="1162">
      <c r="A1162" t="inlineStr">
        <is>
          <t>OS-2660</t>
        </is>
      </c>
      <c r="B1162" t="inlineStr">
        <is>
          <t>Lâmpada queimada na área T-26</t>
        </is>
      </c>
      <c r="C1162" t="inlineStr">
        <is>
          <t>Iluminação da área T-26 sem funcionar. Reposição de lâmpada e conferência do reator.</t>
        </is>
      </c>
      <c r="D1162" t="inlineStr">
        <is>
          <t>Usina Fotovoltaica Cerrado</t>
        </is>
      </c>
      <c r="E1162" t="inlineStr">
        <is>
          <t>Crítica</t>
        </is>
      </c>
      <c r="F1162" t="inlineStr">
        <is>
          <t>Otávio Lacerda</t>
        </is>
      </c>
      <c r="G1162" t="inlineStr">
        <is>
          <t>Fechada</t>
        </is>
      </c>
      <c r="H1162" s="5" t="n">
        <v>46013.20833333334</v>
      </c>
    </row>
    <row r="1163">
      <c r="A1163" t="inlineStr">
        <is>
          <t>OS-2661</t>
        </is>
      </c>
      <c r="B1163" t="inlineStr">
        <is>
          <t>Vazamento de óleo no redutor E-06</t>
        </is>
      </c>
      <c r="C1163" t="inlineStr">
        <is>
          <t>Gotejamento de óleo no redutor E-06. Nível ainda dentro da faixa.</t>
        </is>
      </c>
      <c r="D1163" t="inlineStr">
        <is>
          <t>Subestação Centro</t>
        </is>
      </c>
      <c r="E1163" t="inlineStr">
        <is>
          <t>Média</t>
        </is>
      </c>
      <c r="F1163" t="inlineStr">
        <is>
          <t>Zeca Moraes</t>
        </is>
      </c>
      <c r="G1163" t="inlineStr">
        <is>
          <t>Fechada</t>
        </is>
      </c>
      <c r="H1163" s="5" t="n">
        <v>46013.52569444444</v>
      </c>
    </row>
    <row r="1164">
      <c r="A1164" t="inlineStr">
        <is>
          <t>OS-2662</t>
        </is>
      </c>
      <c r="B1164" t="inlineStr">
        <is>
          <t>Calha entupida no prédio D-16</t>
        </is>
      </c>
      <c r="C1164" t="inlineStr">
        <is>
          <t>Calha do prédio D-16 transbordando em dia de chuva.</t>
        </is>
      </c>
      <c r="D1164" t="inlineStr">
        <is>
          <t>Estação Elevatória Oeste</t>
        </is>
      </c>
      <c r="E1164" t="inlineStr">
        <is>
          <t>Média</t>
        </is>
      </c>
      <c r="F1164" t="inlineStr">
        <is>
          <t>Bernardo Leal</t>
        </is>
      </c>
      <c r="G1164" t="inlineStr">
        <is>
          <t>Fechada</t>
        </is>
      </c>
      <c r="H1164" s="5" t="n">
        <v>46013.83125</v>
      </c>
    </row>
    <row r="1165">
      <c r="A1165" t="inlineStr">
        <is>
          <t>OS-2663</t>
        </is>
      </c>
      <c r="B1165" t="inlineStr">
        <is>
          <t>Portão da área C-15 emperrado</t>
        </is>
      </c>
      <c r="C1165" t="inlineStr">
        <is>
          <t>Portão de acesso da área C-15 exige força excessiva para abrir.</t>
        </is>
      </c>
      <c r="D1165" t="inlineStr">
        <is>
          <t>Torre de Telecomunicação Morro Alto</t>
        </is>
      </c>
      <c r="E1165" t="inlineStr">
        <is>
          <t>Baixa</t>
        </is>
      </c>
      <c r="F1165" t="inlineStr">
        <is>
          <t>Natália Cordeiro</t>
        </is>
      </c>
      <c r="G1165" t="inlineStr">
        <is>
          <t>Fechada</t>
        </is>
      </c>
      <c r="H1165" s="5" t="n">
        <v>46014.14097222222</v>
      </c>
    </row>
    <row r="1166">
      <c r="A1166" t="inlineStr">
        <is>
          <t>OS-2664</t>
        </is>
      </c>
      <c r="B1166" t="inlineStr">
        <is>
          <t>Aquecimento no mancal do motor A-04</t>
        </is>
      </c>
      <c r="C1166" t="inlineStr">
        <is>
          <t>Mancal do motor A-04 acima da temperatura usual na medição com termômetro infravermelho.</t>
        </is>
      </c>
      <c r="D1166" t="inlineStr">
        <is>
          <t>Adutora Tronco Norte</t>
        </is>
      </c>
      <c r="E1166" t="inlineStr">
        <is>
          <t>Média</t>
        </is>
      </c>
      <c r="F1166" t="inlineStr">
        <is>
          <t>Marcos Vinícius Rocha</t>
        </is>
      </c>
      <c r="G1166" t="inlineStr">
        <is>
          <t>Fechada</t>
        </is>
      </c>
      <c r="H1166" s="5" t="n">
        <v>46014.44027777778</v>
      </c>
    </row>
    <row r="1167">
      <c r="A1167" t="inlineStr">
        <is>
          <t>OS-2665</t>
        </is>
      </c>
      <c r="B1167" t="inlineStr">
        <is>
          <t>Aquecimento no mancal do motor R-40</t>
        </is>
      </c>
      <c r="C1167" t="inlineStr">
        <is>
          <t>Mancal do motor R-40 acima da temperatura usual na medição com termômetro infravermelho.</t>
        </is>
      </c>
      <c r="D1167" t="inlineStr">
        <is>
          <t>Estação Elevatória Leste</t>
        </is>
      </c>
      <c r="E1167" t="inlineStr">
        <is>
          <t>Baixa</t>
        </is>
      </c>
      <c r="F1167" t="inlineStr">
        <is>
          <t>Juliana Aguiar</t>
        </is>
      </c>
      <c r="G1167" t="inlineStr">
        <is>
          <t>Fechada</t>
        </is>
      </c>
      <c r="H1167" s="5" t="n">
        <v>46014.71875</v>
      </c>
    </row>
    <row r="1168">
      <c r="A1168" t="inlineStr">
        <is>
          <t>OS-2666</t>
        </is>
      </c>
      <c r="B1168" t="inlineStr">
        <is>
          <t>Correia do ventilador R-25 desgastada</t>
        </is>
      </c>
      <c r="C1168" t="inlineStr">
        <is>
          <t>Correia do ventilador R-25 com trincas visíveis e folga excessiva.</t>
        </is>
      </c>
      <c r="D1168" t="inlineStr">
        <is>
          <t>ETA Serra Azul</t>
        </is>
      </c>
      <c r="E1168" t="inlineStr">
        <is>
          <t>Média</t>
        </is>
      </c>
      <c r="F1168" t="inlineStr">
        <is>
          <t>Priscila Guedes</t>
        </is>
      </c>
      <c r="G1168" t="inlineStr">
        <is>
          <t>Fechada</t>
        </is>
      </c>
      <c r="H1168" s="5" t="n">
        <v>46015.05277777778</v>
      </c>
    </row>
    <row r="1169">
      <c r="A1169" t="inlineStr">
        <is>
          <t>OS-2667</t>
        </is>
      </c>
      <c r="B1169" t="inlineStr">
        <is>
          <t>Troca de filtro do compressor M-01</t>
        </is>
      </c>
      <c r="C1169" t="inlineStr">
        <is>
          <t>Filtro de ar do compressor M-01 saturado. Substituição preventiva.</t>
        </is>
      </c>
      <c r="D1169" t="inlineStr">
        <is>
          <t>Torre de Telecomunicação Morro Alto</t>
        </is>
      </c>
      <c r="E1169" t="inlineStr">
        <is>
          <t>Alta</t>
        </is>
      </c>
      <c r="F1169" t="inlineStr">
        <is>
          <t>Zeca Moraes</t>
        </is>
      </c>
      <c r="G1169" t="inlineStr">
        <is>
          <t>Fechada</t>
        </is>
      </c>
      <c r="H1169" s="5" t="n">
        <v>46015.33680555555</v>
      </c>
    </row>
    <row r="1170">
      <c r="A1170" t="inlineStr">
        <is>
          <t>OS-2668</t>
        </is>
      </c>
      <c r="B1170" t="inlineStr">
        <is>
          <t>Válvula T-40 não fecha por completo</t>
        </is>
      </c>
      <c r="C1170" t="inlineStr">
        <is>
          <t>Válvula T-40 com passagem residual mesmo totalmente fechada. Possível desgaste da sede.</t>
        </is>
      </c>
      <c r="D1170" t="inlineStr">
        <is>
          <t>Laboratório de Controle</t>
        </is>
      </c>
      <c r="E1170" t="inlineStr">
        <is>
          <t>Média</t>
        </is>
      </c>
      <c r="F1170" t="inlineStr">
        <is>
          <t>Rafael Torres</t>
        </is>
      </c>
      <c r="G1170" t="inlineStr">
        <is>
          <t>Fechada</t>
        </is>
      </c>
      <c r="H1170" s="5" t="n">
        <v>46015.66458333333</v>
      </c>
    </row>
    <row r="1171">
      <c r="A1171" t="inlineStr">
        <is>
          <t>OS-2669</t>
        </is>
      </c>
      <c r="B1171" t="inlineStr">
        <is>
          <t>Infiltração na parede da casa de bombas A-13</t>
        </is>
      </c>
      <c r="C1171" t="inlineStr">
        <is>
          <t>Mancha de umidade crescente na parede da casa de bombas A-13.</t>
        </is>
      </c>
      <c r="D1171" t="inlineStr">
        <is>
          <t>Reservatório Industrial</t>
        </is>
      </c>
      <c r="E1171" t="inlineStr">
        <is>
          <t>Alta</t>
        </is>
      </c>
      <c r="F1171" t="inlineStr">
        <is>
          <t>Igor Fonseca</t>
        </is>
      </c>
      <c r="G1171" t="inlineStr">
        <is>
          <t>Fechada</t>
        </is>
      </c>
      <c r="H1171" s="5" t="n">
        <v>46015.96805555555</v>
      </c>
    </row>
    <row r="1172">
      <c r="A1172" t="inlineStr">
        <is>
          <t>OS-2670</t>
        </is>
      </c>
      <c r="B1172" t="inlineStr">
        <is>
          <t>Lâmpada queimada na área R-12</t>
        </is>
      </c>
      <c r="C1172" t="inlineStr">
        <is>
          <t>Iluminação da área R-12 sem funcionar. Reposição de lâmpada e conferência do reator.</t>
        </is>
      </c>
      <c r="D1172" t="inlineStr">
        <is>
          <t>Estação Elevatória Oeste</t>
        </is>
      </c>
      <c r="E1172" t="inlineStr">
        <is>
          <t>Baixa</t>
        </is>
      </c>
      <c r="F1172" t="inlineStr">
        <is>
          <t>Murilo Paiva</t>
        </is>
      </c>
      <c r="G1172" t="inlineStr">
        <is>
          <t>Fechada</t>
        </is>
      </c>
      <c r="H1172" s="5" t="n">
        <v>46016.26875</v>
      </c>
    </row>
    <row r="1173">
      <c r="A1173" t="inlineStr">
        <is>
          <t>OS-2671</t>
        </is>
      </c>
      <c r="B1173" t="inlineStr">
        <is>
          <t>Disjuntor desarmando no painel R-14</t>
        </is>
      </c>
      <c r="C1173" t="inlineStr">
        <is>
          <t>Disjuntor do painel R-14 desarmou três vezes no turno. Carga dentro do nominal.</t>
        </is>
      </c>
      <c r="D1173" t="inlineStr">
        <is>
          <t>Base Operacional Sul</t>
        </is>
      </c>
      <c r="E1173" t="inlineStr">
        <is>
          <t>Média</t>
        </is>
      </c>
      <c r="F1173" t="inlineStr">
        <is>
          <t>Eduardo Salles</t>
        </is>
      </c>
      <c r="G1173" t="inlineStr">
        <is>
          <t>Fechada</t>
        </is>
      </c>
      <c r="H1173" s="5" t="n">
        <v>46016.58055555556</v>
      </c>
    </row>
    <row r="1174">
      <c r="A1174" t="inlineStr">
        <is>
          <t>OS-2672</t>
        </is>
      </c>
      <c r="B1174" t="inlineStr">
        <is>
          <t>Bomba dosadora E-33 sem recalque</t>
        </is>
      </c>
      <c r="C1174" t="inlineStr">
        <is>
          <t>Bomba dosadora E-33 liga mas não dosa. Mangueira sem obstrução aparente.</t>
        </is>
      </c>
      <c r="D1174" t="inlineStr">
        <is>
          <t>Base Operacional Serra</t>
        </is>
      </c>
      <c r="E1174" t="inlineStr">
        <is>
          <t>Média</t>
        </is>
      </c>
      <c r="F1174" t="inlineStr">
        <is>
          <t>Jonas Teles</t>
        </is>
      </c>
      <c r="G1174" t="inlineStr">
        <is>
          <t>Fechada</t>
        </is>
      </c>
      <c r="H1174" s="5" t="n">
        <v>46016.85972222222</v>
      </c>
    </row>
    <row r="1175">
      <c r="A1175" t="inlineStr">
        <is>
          <t>OS-2673</t>
        </is>
      </c>
      <c r="B1175" t="inlineStr">
        <is>
          <t>Vazamento de óleo no redutor C-33</t>
        </is>
      </c>
      <c r="C1175" t="inlineStr">
        <is>
          <t>Gotejamento de óleo no redutor C-33. Nível ainda dentro da faixa.</t>
        </is>
      </c>
      <c r="D1175" t="inlineStr">
        <is>
          <t>Base Operacional Sul</t>
        </is>
      </c>
      <c r="E1175" t="inlineStr">
        <is>
          <t>Média</t>
        </is>
      </c>
      <c r="F1175" t="inlineStr">
        <is>
          <t>Yara Medeiros</t>
        </is>
      </c>
      <c r="G1175" t="inlineStr">
        <is>
          <t>Fechada</t>
        </is>
      </c>
      <c r="H1175" s="5" t="n">
        <v>46017.19513888889</v>
      </c>
    </row>
    <row r="1176">
      <c r="A1176" t="inlineStr">
        <is>
          <t>OS-2674</t>
        </is>
      </c>
      <c r="B1176" t="inlineStr">
        <is>
          <t>Tomada sem energia na sala T-08</t>
        </is>
      </c>
      <c r="C1176" t="inlineStr">
        <is>
          <t>Tomada de serviço da sala T-08 sem tensão.</t>
        </is>
      </c>
      <c r="D1176" t="inlineStr">
        <is>
          <t>Booster Morada do Sol</t>
        </is>
      </c>
      <c r="E1176" t="inlineStr">
        <is>
          <t>Alta</t>
        </is>
      </c>
      <c r="F1176" t="inlineStr">
        <is>
          <t>Beatriz Farias</t>
        </is>
      </c>
      <c r="G1176" t="inlineStr">
        <is>
          <t>Fechada</t>
        </is>
      </c>
      <c r="H1176" s="5" t="n">
        <v>46017.49097222222</v>
      </c>
    </row>
    <row r="1177">
      <c r="A1177" t="inlineStr">
        <is>
          <t>OS-2675</t>
        </is>
      </c>
      <c r="B1177" t="inlineStr">
        <is>
          <t>Lâmpada queimada na área H-05</t>
        </is>
      </c>
      <c r="C1177" t="inlineStr">
        <is>
          <t>Iluminação da área H-05 sem funcionar. Reposição de lâmpada e conferência do reator.</t>
        </is>
      </c>
      <c r="D1177" t="inlineStr">
        <is>
          <t>Reservatório Alto da Colina</t>
        </is>
      </c>
      <c r="E1177" t="inlineStr">
        <is>
          <t>Alta</t>
        </is>
      </c>
      <c r="F1177" t="inlineStr">
        <is>
          <t>Heloísa Barreto</t>
        </is>
      </c>
      <c r="G1177" t="inlineStr">
        <is>
          <t>Fechada</t>
        </is>
      </c>
      <c r="H1177" s="5" t="n">
        <v>46017.79166666666</v>
      </c>
    </row>
    <row r="1178">
      <c r="A1178" t="inlineStr">
        <is>
          <t>OS-2676</t>
        </is>
      </c>
      <c r="B1178" t="inlineStr">
        <is>
          <t>Válvula T-21 não fecha por completo</t>
        </is>
      </c>
      <c r="C1178" t="inlineStr">
        <is>
          <t>Válvula T-21 com passagem residual mesmo totalmente fechada. Possível desgaste da sede.</t>
        </is>
      </c>
      <c r="D1178" t="inlineStr">
        <is>
          <t>Captação Rio Verde</t>
        </is>
      </c>
      <c r="E1178" t="inlineStr">
        <is>
          <t>Alta</t>
        </is>
      </c>
      <c r="F1178" t="inlineStr">
        <is>
          <t>Glória Sampaio</t>
        </is>
      </c>
      <c r="G1178" t="inlineStr">
        <is>
          <t>Fechada</t>
        </is>
      </c>
      <c r="H1178" s="5" t="n">
        <v>46018.09930555556</v>
      </c>
    </row>
    <row r="1179">
      <c r="A1179" t="inlineStr">
        <is>
          <t>OS-2677</t>
        </is>
      </c>
      <c r="B1179" t="inlineStr">
        <is>
          <t>Sensor de nível sem leitura no tanque P-23</t>
        </is>
      </c>
      <c r="C1179" t="inlineStr">
        <is>
          <t>Supervisório mostra leitura congelada do sensor de nível do tanque P-23.</t>
        </is>
      </c>
      <c r="D1179" t="inlineStr">
        <is>
          <t>Subestação Oeste</t>
        </is>
      </c>
      <c r="E1179" t="inlineStr">
        <is>
          <t>Crítica</t>
        </is>
      </c>
      <c r="F1179" t="inlineStr">
        <is>
          <t>Murilo Paiva</t>
        </is>
      </c>
      <c r="G1179" t="inlineStr">
        <is>
          <t>Fechada</t>
        </is>
      </c>
      <c r="H1179" s="5" t="n">
        <v>46018.41041666667</v>
      </c>
    </row>
    <row r="1180">
      <c r="A1180" t="inlineStr">
        <is>
          <t>OS-2678</t>
        </is>
      </c>
      <c r="B1180" t="inlineStr">
        <is>
          <t>Troca de filtro do compressor T-28</t>
        </is>
      </c>
      <c r="C1180" t="inlineStr">
        <is>
          <t>Filtro de ar do compressor T-28 saturado. Substituição preventiva.</t>
        </is>
      </c>
      <c r="D1180" t="inlineStr">
        <is>
          <t>ETE Vale do Sol</t>
        </is>
      </c>
      <c r="E1180" t="inlineStr">
        <is>
          <t>Baixa</t>
        </is>
      </c>
      <c r="F1180" t="inlineStr">
        <is>
          <t>Danilo Peixoto</t>
        </is>
      </c>
      <c r="G1180" t="inlineStr">
        <is>
          <t>Fechada</t>
        </is>
      </c>
      <c r="H1180" s="5" t="n">
        <v>46018.68194444444</v>
      </c>
    </row>
    <row r="1181">
      <c r="A1181" t="inlineStr">
        <is>
          <t>OS-2679</t>
        </is>
      </c>
      <c r="B1181" t="inlineStr">
        <is>
          <t>Medidor de vazão E-30 com leitura instável</t>
        </is>
      </c>
      <c r="C1181" t="inlineStr">
        <is>
          <t>Medidor de vazão E-30 oscila sem variação de processo.</t>
        </is>
      </c>
      <c r="D1181" t="inlineStr">
        <is>
          <t>Galpão de Materiais</t>
        </is>
      </c>
      <c r="E1181" t="inlineStr">
        <is>
          <t>Baixa</t>
        </is>
      </c>
      <c r="F1181" t="inlineStr">
        <is>
          <t>Aline Rocha</t>
        </is>
      </c>
      <c r="G1181" t="inlineStr">
        <is>
          <t>Fechada</t>
        </is>
      </c>
      <c r="H1181" s="5" t="n">
        <v>46019.01388888889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2026-10-17T18:20:08Z</dcterms:created>
  <dcterms:modified xsi:type="dcterms:W3CDTF">2026-10-17T18:20:08Z</dcterms:modified>
</cp:coreProperties>
</file>